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VHC\Phare2_YeuCau\"/>
    </mc:Choice>
  </mc:AlternateContent>
  <xr:revisionPtr revIDLastSave="0" documentId="13_ncr:1_{3F9E7CDA-CCD3-4A60-A9ED-3BA1C5AE4F4B}" xr6:coauthVersionLast="47" xr6:coauthVersionMax="47" xr10:uidLastSave="{00000000-0000-0000-0000-000000000000}"/>
  <bookViews>
    <workbookView xWindow="-108" yWindow="-108" windowWidth="23256" windowHeight="13896" tabRatio="813" firstSheet="11" activeTab="21" xr2:uid="{FAEB2B05-9CEB-4ED2-A87E-CCC39F37BE89}"/>
  </bookViews>
  <sheets>
    <sheet name="Yeu cau thao tac " sheetId="11" r:id="rId1"/>
    <sheet name="Thong tin trang dau NK-P301-F01" sheetId="2" r:id="rId2"/>
    <sheet name="Trang dau NK P301-F01" sheetId="25" r:id="rId3"/>
    <sheet name="Thong tin NK - P301-F01" sheetId="5" r:id="rId4"/>
    <sheet name="Duong chuan tang truong" sheetId="12" r:id="rId5"/>
    <sheet name="quy tac moi truong ao nuôi" sheetId="8" r:id="rId6"/>
    <sheet name="Danh muc hoa chat" sheetId="15" r:id="rId7"/>
    <sheet name="MTP" sheetId="28" r:id="rId8"/>
    <sheet name="DS ghe van chuyen thuc an" sheetId="13" r:id="rId9"/>
    <sheet name="quy tac sd TA, HC" sheetId="7" r:id="rId10"/>
    <sheet name="quy tac ca chet" sheetId="9" r:id="rId11"/>
    <sheet name="quy tac cap thoat nuoc" sheetId="10" r:id="rId12"/>
    <sheet name="bac si ngu y" sheetId="3" r:id="rId13"/>
    <sheet name="P301-F06" sheetId="16" r:id="rId14"/>
    <sheet name="P301-F07" sheetId="22" r:id="rId15"/>
    <sheet name="P303-F03" sheetId="21" r:id="rId16"/>
    <sheet name="P303-F04" sheetId="20" r:id="rId17"/>
    <sheet name="P303-F06" sheetId="19" r:id="rId18"/>
    <sheet name="P303-F07" sheetId="26" r:id="rId19"/>
    <sheet name="P304-F04" sheetId="23" r:id="rId20"/>
    <sheet name="P304-F07" sheetId="24" r:id="rId21"/>
    <sheet name="P305-F37" sheetId="18" r:id="rId22"/>
  </sheets>
  <definedNames>
    <definedName name="_xlnm._FilterDatabase" localSheetId="6" hidden="1">'Danh muc hoa chat'!$A$2:$F$45</definedName>
    <definedName name="_xlnm.Print_Titles" localSheetId="7">MTP!$1:$3</definedName>
    <definedName name="_xlnm.Print_Titles" localSheetId="16">'P303-F04'!$6:$8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5" l="1"/>
  <c r="K31" i="5"/>
  <c r="L31" i="5"/>
  <c r="D15" i="5"/>
  <c r="C16" i="5"/>
  <c r="C18" i="5" s="1"/>
  <c r="C19" i="5" s="1"/>
  <c r="C20" i="5" s="1"/>
  <c r="C21" i="5" s="1"/>
  <c r="C22" i="5" s="1"/>
  <c r="C23" i="5" s="1"/>
  <c r="C24" i="5" s="1"/>
  <c r="C25" i="5" s="1"/>
  <c r="D10" i="5"/>
  <c r="C10" i="5"/>
  <c r="D25" i="5"/>
  <c r="D27" i="5" s="1"/>
  <c r="D28" i="5" l="1"/>
  <c r="Q32" i="5"/>
  <c r="D16" i="5"/>
  <c r="D18" i="5" l="1"/>
  <c r="D19" i="5" s="1"/>
  <c r="D20" i="5" s="1"/>
  <c r="D21" i="5" s="1"/>
</calcChain>
</file>

<file path=xl/sharedStrings.xml><?xml version="1.0" encoding="utf-8"?>
<sst xmlns="http://schemas.openxmlformats.org/spreadsheetml/2006/main" count="1160" uniqueCount="821">
  <si>
    <t>Yêu cầu</t>
  </si>
  <si>
    <t>Thu hoạch</t>
  </si>
  <si>
    <t>Ngày thả</t>
  </si>
  <si>
    <t>Vĩnh Hòa</t>
  </si>
  <si>
    <t>Chợ Mới</t>
  </si>
  <si>
    <t>Tân Hòa</t>
  </si>
  <si>
    <t>Tân Hồng</t>
  </si>
  <si>
    <t>Bác sĩ ngư y từ tháng 4.25</t>
  </si>
  <si>
    <t>Ngày cuối cùng của mỗi tháng</t>
  </si>
  <si>
    <t>Ngày cuối cùng của mỗi tháng -1 ngày</t>
  </si>
  <si>
    <t>Ngày cuối cùng của mỗi tháng -2 ngày</t>
  </si>
  <si>
    <t>Dư Hữu Trọng</t>
  </si>
  <si>
    <t>Hồ Thanh Vinh</t>
  </si>
  <si>
    <t>Hồ Minh Luân</t>
  </si>
  <si>
    <t>Thông tin ao nuôi</t>
  </si>
  <si>
    <t>SĐT</t>
  </si>
  <si>
    <t>Quản lý</t>
  </si>
  <si>
    <t>Ngày thu hoạch vụ trước</t>
  </si>
  <si>
    <t>tự nhập</t>
  </si>
  <si>
    <t>Ngày ao trống</t>
  </si>
  <si>
    <t>Ngày cải tạo ao</t>
  </si>
  <si>
    <t>(Lấy ngày thả cá - ngày thu hoạch cuối cùng của vụ trước)+1</t>
  </si>
  <si>
    <t>II.1</t>
  </si>
  <si>
    <t>II.2</t>
  </si>
  <si>
    <t>II.3</t>
  </si>
  <si>
    <t>II.4</t>
  </si>
  <si>
    <t>II.5</t>
  </si>
  <si>
    <t>Cải tạo ao</t>
  </si>
  <si>
    <t>Kích cỡ mắt lưới</t>
  </si>
  <si>
    <t>Cho chọn các thông số: 0.5, 1, 1.2, 2</t>
  </si>
  <si>
    <t>Kích cỡ mắt lưới bổ sung</t>
  </si>
  <si>
    <t>II.6</t>
  </si>
  <si>
    <t>Mực nước trước khi thả cá</t>
  </si>
  <si>
    <t>II.7</t>
  </si>
  <si>
    <t xml:space="preserve">Sử dụng Sp cải tạo ao </t>
  </si>
  <si>
    <t>II.8</t>
  </si>
  <si>
    <t>Chất lượng nước trước khi thả cá</t>
  </si>
  <si>
    <t>II.9</t>
  </si>
  <si>
    <t>Kết cấu bờ ao</t>
  </si>
  <si>
    <t>Tự check</t>
  </si>
  <si>
    <t>III</t>
  </si>
  <si>
    <t>Thông tin cá giống</t>
  </si>
  <si>
    <t>Loại cá nuôi</t>
  </si>
  <si>
    <t>III.1</t>
  </si>
  <si>
    <r>
      <t>Cho chọn: cá tra (</t>
    </r>
    <r>
      <rPr>
        <i/>
        <sz val="13"/>
        <color theme="1"/>
        <rFont val="Times New Roman"/>
        <family val="1"/>
      </rPr>
      <t>Pangasianodon hypopthalmus</t>
    </r>
    <r>
      <rPr>
        <sz val="13"/>
        <color theme="1"/>
        <rFont val="Times New Roman"/>
        <family val="2"/>
      </rPr>
      <t>), rô phi (</t>
    </r>
    <r>
      <rPr>
        <i/>
        <sz val="13"/>
        <color theme="1"/>
        <rFont val="Times New Roman"/>
        <family val="1"/>
      </rPr>
      <t>Oreochromis niloticus</t>
    </r>
    <r>
      <rPr>
        <sz val="13"/>
        <color theme="1"/>
        <rFont val="Times New Roman"/>
        <family val="2"/>
      </rPr>
      <t>)</t>
    </r>
  </si>
  <si>
    <t>III.2</t>
  </si>
  <si>
    <t>III.3</t>
  </si>
  <si>
    <t>Nguồn giống:</t>
  </si>
  <si>
    <t>Ao giống/mã ao</t>
  </si>
  <si>
    <t>Địa chỉ trại giống</t>
  </si>
  <si>
    <t>Tên trại giống</t>
  </si>
  <si>
    <t>Mặc định vét bùn</t>
  </si>
  <si>
    <t>Tự nhập</t>
  </si>
  <si>
    <t>Kích cỡ giống thả</t>
  </si>
  <si>
    <t>III.4</t>
  </si>
  <si>
    <t>III.5</t>
  </si>
  <si>
    <t>Tuổi giống</t>
  </si>
  <si>
    <t>III.6</t>
  </si>
  <si>
    <t>Mật độ thả</t>
  </si>
  <si>
    <t>III.7</t>
  </si>
  <si>
    <t>III.8</t>
  </si>
  <si>
    <t>III.9</t>
  </si>
  <si>
    <t>Số lượng giống thả</t>
  </si>
  <si>
    <t>Khối lượng giống thả</t>
  </si>
  <si>
    <t>III.10</t>
  </si>
  <si>
    <t>Sản lượng dự kiến</t>
  </si>
  <si>
    <t>I</t>
  </si>
  <si>
    <t>I.1</t>
  </si>
  <si>
    <t>I.2</t>
  </si>
  <si>
    <t>I.3</t>
  </si>
  <si>
    <t>I.4</t>
  </si>
  <si>
    <t>I.5</t>
  </si>
  <si>
    <t>DT ao</t>
  </si>
  <si>
    <t>Diện tích mặt nước</t>
  </si>
  <si>
    <t>I.6</t>
  </si>
  <si>
    <t>Độ sâu</t>
  </si>
  <si>
    <t>Địa chỉ ( ao + vụ + địa chỉ)</t>
  </si>
  <si>
    <t>II</t>
  </si>
  <si>
    <t>Chuẩn bị ao nuôi trước khi thả</t>
  </si>
  <si>
    <r>
      <t xml:space="preserve">NHẬT KÝ ƯƠNG/NUÔI CÁ
</t>
    </r>
    <r>
      <rPr>
        <b/>
        <i/>
        <sz val="16"/>
        <rFont val="Times New Roman"/>
        <family val="1"/>
      </rPr>
      <t>Farming diary</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</si>
  <si>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P301-F01</t>
    </r>
  </si>
  <si>
    <r>
      <t xml:space="preserve">Ngày hiệu lực/ </t>
    </r>
    <r>
      <rPr>
        <i/>
        <sz val="10"/>
        <color indexed="10"/>
        <rFont val="Times New Roman"/>
        <family val="1"/>
      </rPr>
      <t>Effective:</t>
    </r>
    <r>
      <rPr>
        <sz val="10"/>
        <color indexed="10"/>
        <rFont val="Times New Roman"/>
        <family val="1"/>
      </rPr>
      <t xml:space="preserve"> 01.01.25</t>
    </r>
  </si>
  <si>
    <r>
      <t xml:space="preserve">Lần soát xét/ </t>
    </r>
    <r>
      <rPr>
        <i/>
        <sz val="10"/>
        <color indexed="10"/>
        <rFont val="Times New Roman"/>
        <family val="1"/>
      </rPr>
      <t>Version:</t>
    </r>
    <r>
      <rPr>
        <sz val="10"/>
        <color indexed="10"/>
        <rFont val="Times New Roman"/>
        <family val="1"/>
      </rPr>
      <t xml:space="preserve"> 03</t>
    </r>
  </si>
  <si>
    <r>
      <t xml:space="preserve">Ngày </t>
    </r>
    <r>
      <rPr>
        <i/>
        <sz val="9"/>
        <rFont val="Times New Roman"/>
        <family val="1"/>
      </rPr>
      <t>Date</t>
    </r>
  </si>
  <si>
    <r>
      <t xml:space="preserve">Ngày nuôi
</t>
    </r>
    <r>
      <rPr>
        <i/>
        <sz val="9"/>
        <rFont val="Times New Roman"/>
        <family val="1"/>
      </rPr>
      <t>Date from stocking</t>
    </r>
  </si>
  <si>
    <r>
      <t xml:space="preserve">Số lượng cá (con) 
</t>
    </r>
    <r>
      <rPr>
        <i/>
        <sz val="9"/>
        <rFont val="Times New Roman"/>
        <family val="1"/>
      </rPr>
      <t>Fish number</t>
    </r>
    <r>
      <rPr>
        <sz val="9"/>
        <rFont val="Times New Roman"/>
        <family val="1"/>
      </rPr>
      <t xml:space="preserve"> (pcs)</t>
    </r>
  </si>
  <si>
    <r>
      <t xml:space="preserve">Môi trường ao nuôi  </t>
    </r>
    <r>
      <rPr>
        <i/>
        <sz val="9"/>
        <rFont val="Times New Roman"/>
        <family val="1"/>
      </rPr>
      <t>Pond environment</t>
    </r>
  </si>
  <si>
    <r>
      <t xml:space="preserve">Thức ăn
</t>
    </r>
    <r>
      <rPr>
        <i/>
        <sz val="9"/>
        <rFont val="Times New Roman"/>
        <family val="1"/>
      </rPr>
      <t>Feed</t>
    </r>
  </si>
  <si>
    <r>
      <t xml:space="preserve">Cá chết
</t>
    </r>
    <r>
      <rPr>
        <i/>
        <sz val="9"/>
        <rFont val="Times New Roman"/>
        <family val="1"/>
      </rPr>
      <t>Dead fish</t>
    </r>
  </si>
  <si>
    <r>
      <t xml:space="preserve">Hóa chất sử dụng
</t>
    </r>
    <r>
      <rPr>
        <i/>
        <sz val="9"/>
        <rFont val="Times New Roman"/>
        <family val="1"/>
      </rPr>
      <t>Chemical using</t>
    </r>
  </si>
  <si>
    <r>
      <t xml:space="preserve">Ghi chú
</t>
    </r>
    <r>
      <rPr>
        <i/>
        <sz val="9"/>
        <rFont val="Times New Roman"/>
        <family val="1"/>
      </rPr>
      <t>Notes</t>
    </r>
  </si>
  <si>
    <r>
      <t>Người chịu trách nhiệm</t>
    </r>
    <r>
      <rPr>
        <i/>
        <sz val="9"/>
        <rFont val="Times New Roman"/>
        <family val="1"/>
      </rPr>
      <t>Responsible staff</t>
    </r>
  </si>
  <si>
    <t>DO 
(mg/L)</t>
  </si>
  <si>
    <r>
      <t xml:space="preserve">Nhiệt độ nước  </t>
    </r>
    <r>
      <rPr>
        <i/>
        <sz val="9"/>
        <rFont val="Times New Roman"/>
        <family val="1"/>
      </rPr>
      <t>Temperature</t>
    </r>
    <r>
      <rPr>
        <sz val="9"/>
        <rFont val="Times New Roman"/>
        <family val="1"/>
      </rPr>
      <t xml:space="preserve"> (</t>
    </r>
    <r>
      <rPr>
        <vertAlign val="superscript"/>
        <sz val="9"/>
        <rFont val="Times New Roman"/>
        <family val="1"/>
      </rPr>
      <t>o</t>
    </r>
    <r>
      <rPr>
        <sz val="9"/>
        <rFont val="Times New Roman"/>
        <family val="1"/>
      </rPr>
      <t>C)</t>
    </r>
  </si>
  <si>
    <t>pH</t>
  </si>
  <si>
    <r>
      <t xml:space="preserve">Công ty sản xuất - Độ đạm - Kích cỡ 
</t>
    </r>
    <r>
      <rPr>
        <i/>
        <sz val="9"/>
        <rFont val="Times New Roman"/>
        <family val="1"/>
      </rPr>
      <t>Producer - Protein - Size</t>
    </r>
  </si>
  <si>
    <r>
      <t xml:space="preserve">Mã số lô
</t>
    </r>
    <r>
      <rPr>
        <i/>
        <sz val="9"/>
        <rFont val="Times New Roman"/>
        <family val="1"/>
      </rPr>
      <t>Batch code</t>
    </r>
  </si>
  <si>
    <r>
      <t xml:space="preserve">Hạn sử dụng 
</t>
    </r>
    <r>
      <rPr>
        <i/>
        <sz val="9"/>
        <rFont val="Times New Roman"/>
        <family val="1"/>
      </rPr>
      <t>Expiry date</t>
    </r>
  </si>
  <si>
    <r>
      <t xml:space="preserve">Tổng lượng thức ăn (kg) </t>
    </r>
    <r>
      <rPr>
        <i/>
        <sz val="9"/>
        <rFont val="Times New Roman"/>
        <family val="1"/>
      </rPr>
      <t>Total feed quantity</t>
    </r>
  </si>
  <si>
    <r>
      <t xml:space="preserve">Số lượng (con) 
</t>
    </r>
    <r>
      <rPr>
        <i/>
        <sz val="9"/>
        <rFont val="Times New Roman"/>
        <family val="1"/>
      </rPr>
      <t>Number (pcs)</t>
    </r>
  </si>
  <si>
    <r>
      <t xml:space="preserve">Tổng khối lượng(kg)
</t>
    </r>
    <r>
      <rPr>
        <i/>
        <sz val="9"/>
        <rFont val="Times New Roman"/>
        <family val="1"/>
      </rPr>
      <t>Total quantity</t>
    </r>
  </si>
  <si>
    <r>
      <t xml:space="preserve">Tên sản phẩm 
</t>
    </r>
    <r>
      <rPr>
        <i/>
        <sz val="9"/>
        <rFont val="Times New Roman"/>
        <family val="1"/>
      </rPr>
      <t>Name of product</t>
    </r>
  </si>
  <si>
    <r>
      <t xml:space="preserve">Mã số lô - 
Hạn sử dụng 
</t>
    </r>
    <r>
      <rPr>
        <i/>
        <sz val="9"/>
        <rFont val="Times New Roman"/>
        <family val="1"/>
      </rPr>
      <t>Batch code -
Expiry date</t>
    </r>
  </si>
  <si>
    <r>
      <t xml:space="preserve">Lượng sử dụng
</t>
    </r>
    <r>
      <rPr>
        <i/>
        <sz val="9"/>
        <rFont val="Times New Roman"/>
        <family val="1"/>
      </rPr>
      <t>Quantity using</t>
    </r>
  </si>
  <si>
    <r>
      <t xml:space="preserve">Lý do sử dụng
</t>
    </r>
    <r>
      <rPr>
        <i/>
        <sz val="9"/>
        <rFont val="Times New Roman"/>
        <family val="1"/>
      </rPr>
      <t>Reason using</t>
    </r>
  </si>
  <si>
    <t>Ngày:
date:</t>
  </si>
  <si>
    <r>
      <t xml:space="preserve">Tổng
</t>
    </r>
    <r>
      <rPr>
        <b/>
        <i/>
        <sz val="9"/>
        <rFont val="Times New Roman"/>
        <family val="1"/>
      </rPr>
      <t>Total</t>
    </r>
  </si>
  <si>
    <r>
      <t xml:space="preserve">Ngày:
</t>
    </r>
    <r>
      <rPr>
        <b/>
        <i/>
        <sz val="9"/>
        <rFont val="Times New Roman"/>
        <family val="1"/>
      </rPr>
      <t>date:</t>
    </r>
  </si>
  <si>
    <r>
      <t xml:space="preserve">Ghi chú:
</t>
    </r>
    <r>
      <rPr>
        <b/>
        <i/>
        <sz val="9"/>
        <rFont val="Times New Roman"/>
        <family val="1"/>
      </rPr>
      <t>Notes</t>
    </r>
    <r>
      <rPr>
        <b/>
        <sz val="9"/>
        <rFont val="Times New Roman"/>
        <family val="1"/>
      </rPr>
      <t>:</t>
    </r>
  </si>
  <si>
    <r>
      <t xml:space="preserve">Người thẩm tra:
</t>
    </r>
    <r>
      <rPr>
        <b/>
        <i/>
        <sz val="9"/>
        <rFont val="Times New Roman"/>
        <family val="1"/>
      </rPr>
      <t>Inspector:</t>
    </r>
  </si>
  <si>
    <r>
      <t xml:space="preserve">Lũy tiến
</t>
    </r>
    <r>
      <rPr>
        <b/>
        <i/>
        <sz val="9"/>
        <rFont val="Times New Roman"/>
        <family val="1"/>
      </rPr>
      <t>Progressive</t>
    </r>
  </si>
  <si>
    <t>Kích cỡ cá</t>
  </si>
  <si>
    <t>Kích cỡ thức ăn (tối đa)</t>
  </si>
  <si>
    <t>15- 80g</t>
  </si>
  <si>
    <t>2 - 3 mm</t>
  </si>
  <si>
    <t>3 – 4 mm</t>
  </si>
  <si>
    <t>200 -1000g</t>
  </si>
  <si>
    <t>80 - 200g</t>
  </si>
  <si>
    <t>Khẩu phần</t>
  </si>
  <si>
    <t>tối đa 4% trọng lượng thân</t>
  </si>
  <si>
    <t>tối đa 2% trọng lượng thân</t>
  </si>
  <si>
    <t>tối đa 3% trọng lượng thân</t>
  </si>
  <si>
    <t>Hóa chất</t>
  </si>
  <si>
    <t>Thức ăn</t>
  </si>
  <si>
    <t xml:space="preserve">Ngày 1 </t>
  </si>
  <si>
    <t>Vôi</t>
  </si>
  <si>
    <t>Ngày 2</t>
  </si>
  <si>
    <t>Tên Sản phẩm</t>
  </si>
  <si>
    <t>Lý do sử dụng</t>
  </si>
  <si>
    <t>Ổn định hệ đệm</t>
  </si>
  <si>
    <t>Cho chọn: xử lý nước, bổ sung vi sinh, diệt tảo</t>
  </si>
  <si>
    <t>Ngày sử dụng đầu tiên sau thả cá</t>
  </si>
  <si>
    <t>Chất xử lý nước (cho chọn theo danh mục)</t>
  </si>
  <si>
    <t>Xử lý nước</t>
  </si>
  <si>
    <t>Định kì xử lý nước</t>
  </si>
  <si>
    <t>Định kì sau cấp nước 1 ngày</t>
  </si>
  <si>
    <t>Sau khi sử dụng thuốc trị bệnh</t>
  </si>
  <si>
    <t>Sát trùng nước</t>
  </si>
  <si>
    <t>Nhóm xử lý nước</t>
  </si>
  <si>
    <t>Thời gian sử dụng</t>
  </si>
  <si>
    <t>Nhóm hóa chất</t>
  </si>
  <si>
    <t>Mục đích sử dụng</t>
  </si>
  <si>
    <t>Cải tạo trước khi thả giống</t>
  </si>
  <si>
    <t>Trong quá trình nuôi</t>
  </si>
  <si>
    <t>4 – 6 mm</t>
  </si>
  <si>
    <t xml:space="preserve">Sử dụng lần đầu </t>
  </si>
  <si>
    <t>Mỗi lần sử dụng 2 ngày đối vi sinh còn lại là 1 ngày</t>
  </si>
  <si>
    <t>Cho chọn: tăng sức đề kháng, bổ sung vitamin</t>
  </si>
  <si>
    <t>Định kì 1 tháng 2/lần</t>
  </si>
  <si>
    <t>Bổ sung dinh dưỡng (cho chọn theo danh mục)</t>
  </si>
  <si>
    <t>Định kì bổ sung dinh dưỡng</t>
  </si>
  <si>
    <t>Nhóm dinh dưỡng: Mỗi lần sử dụng 3-5 ngày</t>
  </si>
  <si>
    <t>Nếu nhịp thay nước ngay thời điểm cắt mồi/thu hoạch thì không sử dụng</t>
  </si>
  <si>
    <t>Sau khi thu tỉa phải giảm lượng thức ăn tương đương với lượng cá còn lại trong ao</t>
  </si>
  <si>
    <t>Trường hợp thức ăn hết kích cỡ đang sử dụng có thể lấy loại kích cỡ tiếp theo còn trong kho để cho ăn</t>
  </si>
  <si>
    <t>Họ tên</t>
  </si>
  <si>
    <t>Vùng nuôi</t>
  </si>
  <si>
    <t>Ngày thẩm tra</t>
  </si>
  <si>
    <t>Bình Thạnh, Bình Thạnh 1, Bình Thạnh 2</t>
  </si>
  <si>
    <t>Tân Khánh Trung, Mỹ Xương</t>
  </si>
  <si>
    <t>Tân Thuận Tây, Tân Thuận Đông, Tịnh Thới</t>
  </si>
  <si>
    <t>Tân Hưng Khu 2 ( ao 1 -ao 97)</t>
  </si>
  <si>
    <t>Tân Hưng K1 (ao 1G - ao 39G)</t>
  </si>
  <si>
    <t>Mỹ Hiệp 1, Mỹ Hiệp 2</t>
  </si>
  <si>
    <t>Sẽ có trường hợp 1 ngày ăn 2 loại mã lô cùng một loại ly =&gt; cần tách ra 2 dòng cho mã số lô, hạn sử dụng và lượng</t>
  </si>
  <si>
    <t xml:space="preserve">Khi sử dụng thuốc điều trị bệnh thức ăn phải giảm 50% so với ngày trước đó sau khi hết bệnh tăng dần </t>
  </si>
  <si>
    <t>Lượng cho ăn phải chẵn 1 bao (từ 2mm - 26 đạm đến 6mm - 22 đạm) mỗi bao 40kg</t>
  </si>
  <si>
    <t>Cắt mồi</t>
  </si>
  <si>
    <t xml:space="preserve">Bình thường
Cắt mồi lúc 17h00 </t>
  </si>
  <si>
    <t>ngày cân mẫu định kì hàng tháng theo sheet "bac si ngu y", đồng thời nếu có thu hoạch thì ngày thu hoạch đầu tiên vẫn cân mẫu và tính mật độ</t>
  </si>
  <si>
    <t>Khi trọng lượng bình quân cá &gt; 100g sẽ ghi " Tháo mắt lưới bổ sung"</t>
  </si>
  <si>
    <r>
      <t xml:space="preserve">Ghi chú:
</t>
    </r>
    <r>
      <rPr>
        <b/>
        <i/>
        <sz val="9"/>
        <rFont val="Times New Roman"/>
        <family val="1"/>
      </rPr>
      <t>Notes</t>
    </r>
    <r>
      <rPr>
        <b/>
        <sz val="9"/>
        <rFont val="Times New Roman"/>
        <family val="1"/>
      </rPr>
      <t>: Tháo mắt lưới bổ sung</t>
    </r>
  </si>
  <si>
    <t>2.5
2.8</t>
  </si>
  <si>
    <t>30.2
30.5</t>
  </si>
  <si>
    <t>7
7.5</t>
  </si>
  <si>
    <t>Feed One
22-6</t>
  </si>
  <si>
    <t>0117-14130065</t>
  </si>
  <si>
    <t>2.6
2.9</t>
  </si>
  <si>
    <t>29.6
29.8</t>
  </si>
  <si>
    <t>7.5
8</t>
  </si>
  <si>
    <t>2.7
3.2</t>
  </si>
  <si>
    <t>2.5
2.9</t>
  </si>
  <si>
    <t>29.8
30.4</t>
  </si>
  <si>
    <t>0117-33320115</t>
  </si>
  <si>
    <t>14114012
10/12/2026</t>
  </si>
  <si>
    <t>125 kg</t>
  </si>
  <si>
    <t>Định kỳ xử lý nước</t>
  </si>
  <si>
    <t>Vimelec Concentrated</t>
  </si>
  <si>
    <t>P250035
08/01/2027</t>
  </si>
  <si>
    <t>2 kg</t>
  </si>
  <si>
    <t>Định kỳ bổ sung
dinh dưỡng</t>
  </si>
  <si>
    <t>15063006
10/06/2026</t>
  </si>
  <si>
    <t>800 kg</t>
  </si>
  <si>
    <t>Dflow</t>
  </si>
  <si>
    <t>061322
05/06/2026</t>
  </si>
  <si>
    <t>100 lít</t>
  </si>
  <si>
    <t>Diệt tảo</t>
  </si>
  <si>
    <t>3.6
4.1</t>
  </si>
  <si>
    <t>29.5
30.2</t>
  </si>
  <si>
    <t>28.9
30.1</t>
  </si>
  <si>
    <t>Feed One
26-3</t>
  </si>
  <si>
    <t>0125-32201914</t>
  </si>
  <si>
    <t>3.6
4.2</t>
  </si>
  <si>
    <t>28.5
29</t>
  </si>
  <si>
    <t>0125-12652084</t>
  </si>
  <si>
    <t>4
4.2</t>
  </si>
  <si>
    <t>29.2
29.6</t>
  </si>
  <si>
    <t>0125-32122164</t>
  </si>
  <si>
    <t>3.8
4</t>
  </si>
  <si>
    <t>28.8
29.6</t>
  </si>
  <si>
    <r>
      <t xml:space="preserve">Vitalucan B12 </t>
    </r>
    <r>
      <rPr>
        <vertAlign val="superscript"/>
        <sz val="11"/>
        <rFont val="Times New Roman"/>
        <family val="1"/>
      </rPr>
      <t>New</t>
    </r>
  </si>
  <si>
    <t>2405M02
15/05/2026</t>
  </si>
  <si>
    <t>0.4 kg</t>
  </si>
  <si>
    <t>Tăng sức đề kháng</t>
  </si>
  <si>
    <t>29.6
30.4</t>
  </si>
  <si>
    <t>0117-14070355</t>
  </si>
  <si>
    <t>2.7
2.9</t>
  </si>
  <si>
    <t>30.1
30.2</t>
  </si>
  <si>
    <t>0117-24150415</t>
  </si>
  <si>
    <t>2.6
2.7</t>
  </si>
  <si>
    <t>29.3
30.4</t>
  </si>
  <si>
    <t>2.8
3.1</t>
  </si>
  <si>
    <t>29.9
30.2</t>
  </si>
  <si>
    <t>2.5
2.7</t>
  </si>
  <si>
    <t>30.1
30.4</t>
  </si>
  <si>
    <t>29.9
30.4</t>
  </si>
  <si>
    <t>-</t>
  </si>
  <si>
    <t>Bình thường</t>
  </si>
  <si>
    <t>Thả cá</t>
  </si>
  <si>
    <t>Bình thường
Cắt mồi lúc 17h00</t>
  </si>
  <si>
    <t>Khi thu tỉa ghi nhận lượng thu hoạch vào ghi chú ví dụ: 70.000kg</t>
  </si>
  <si>
    <t>Nếu sheet "Thong tin trang dau NK-P301-F01" mục III.4 - Kích cỡ giống thả chọn "Khác" thì tỷ lệ chết theo TLBQ của cá thả.</t>
  </si>
  <si>
    <t>Tỷ lệ chết đối với size cá bình thường trong khung của sheet "Thong tin trang dau NK-P301-F01" mục III.4 - Kích cỡ giống thả chọn size: 1.7, 2, 2.5</t>
  </si>
  <si>
    <t>&lt; 0.3%</t>
  </si>
  <si>
    <t>&lt; 0.1%</t>
  </si>
  <si>
    <t>&lt; 0.03%</t>
  </si>
  <si>
    <t>&lt; 0.02%</t>
  </si>
  <si>
    <t>≤ 10%</t>
  </si>
  <si>
    <t>&lt; 0.5%</t>
  </si>
  <si>
    <t>Giai đoạn</t>
  </si>
  <si>
    <t>% cá chết</t>
  </si>
  <si>
    <t>Cá thả từ ngày 8 đến ngày 14 tỉ lệ hao hụt/ ngày</t>
  </si>
  <si>
    <t>Cỡ cá tới 40g tỉ lệ hao hụt/ ngày</t>
  </si>
  <si>
    <t>Cỡ cá từ 40g đến 80g/ ngày</t>
  </si>
  <si>
    <t>Cỡ cá từ 80g đến 100g / ngày</t>
  </si>
  <si>
    <r>
      <t>Cỡ cá trên 100g</t>
    </r>
    <r>
      <rPr>
        <b/>
        <sz val="12"/>
        <color theme="1"/>
        <rFont val="Times New Roman"/>
        <family val="1"/>
      </rPr>
      <t xml:space="preserve"> </t>
    </r>
    <r>
      <rPr>
        <sz val="12"/>
        <color theme="1"/>
        <rFont val="Times New Roman"/>
        <family val="1"/>
      </rPr>
      <t>/ ngày</t>
    </r>
  </si>
  <si>
    <t>Cá thả từ ngày 1 đến ngày 7 tổng tỉ lệ hao hụt không quá</t>
  </si>
  <si>
    <t>&lt; 0.4%</t>
  </si>
  <si>
    <t xml:space="preserve">Tổng tỷ lệ chết trong quá trình nuôi </t>
  </si>
  <si>
    <t>Tỉ lệ vô hình trong suốt quá trình nuôi (Số con thả - (số con thu hoạch + số con cá chết))/Số con thả)*100</t>
  </si>
  <si>
    <t>Theo cm thì cho chọn: 1.7, 2, 2.5, Khác. Theo g/con thì = (III.9 "Khối lượng giống thả"/III.8"Số lượng giống thả")*1000</t>
  </si>
  <si>
    <t>Số lượng giống thả/Diện tích mặt nước =&gt; lấy chẵn số</t>
  </si>
  <si>
    <t>Ngày sử dụng hóa chất đầu tiên đến ngày thả giống -1</t>
  </si>
  <si>
    <t>bằng (số con cá chết * TLBQ)* 80 -85% kết quả làm tròn đến 0.5kg</t>
  </si>
  <si>
    <t>Xem sheet "quy tac ca chet"</t>
  </si>
  <si>
    <t>Xem sheet "quy tac moi truong"</t>
  </si>
  <si>
    <t>Nhật ký in từ đầu tháng đến ngày quy định theo sheet "bac si ngu y"</t>
  </si>
  <si>
    <t>Nhóm trị bệnh</t>
  </si>
  <si>
    <t>Trị bệnh (cho chọn theo danh mục)</t>
  </si>
  <si>
    <t>Trị xuất huyết</t>
  </si>
  <si>
    <t xml:space="preserve"> sử dụng 1 - 2 ngày sau khi cá chết vượt ngưỡng 1 ngày.</t>
  </si>
  <si>
    <t>Ký sinh trùng (cho chọn theo danh mục)</t>
  </si>
  <si>
    <t>Trị ký sinh trùng</t>
  </si>
  <si>
    <t>4. ghi "Bình thường cắt mồi lúc 17h00" =&gt; trước thu hoạch 1 ngày</t>
  </si>
  <si>
    <t>3. ghi "Không thu hoạch trước ngày…." = ngày sử dụng + 28 ngày =&gt; khi sử dụng thuốc trị bệnh</t>
  </si>
  <si>
    <t xml:space="preserve">1. ghi "Thả cá" =&gt; ngày đầu tiên thả </t>
  </si>
  <si>
    <t>Thu hoạch 75,949 con</t>
  </si>
  <si>
    <t>5. ghi " Thu hoạch + số con thu hoạch" đúng ngày thu nếu thu tỉa 1 ngày, thu tỉa nhiều ngày thì các ngày đầu ghi thu hoạch ngày cuối cùng  của đợt ghi "Thu hoạch + số con thu hoạch" =&gt; trường hợp thu tỉa</t>
  </si>
  <si>
    <t>2. ghi "Bình thường" =&gt; cho quá trình nuôi</t>
  </si>
  <si>
    <t>2. Các ngày tiếp theo = số lượng cá ngày trước - số lượng cá chết ngày trước</t>
  </si>
  <si>
    <t>1. Ngày đầu tiên là bằng số con thả</t>
  </si>
  <si>
    <t>3. Trường hợp thu tỉa: không ghi số lượng con vào các ngày thu tỉa. Sau đợt thu tỉa 1 ngày mới ghi nhận lượng con = lượng con ngày trước của đợt thu hoạch - (lượng cá chết của ngày trước đợt thu hoạch + cá chết của các ngày thu hoạch + lượng cá thu hoạch)</t>
  </si>
  <si>
    <t>4. Trường hợp thu hoạch hết ao: số con được ghi nhận đến ngày thu hoạch đầu tiên.</t>
  </si>
  <si>
    <t>được ghi nhận từ ngày đầu tiên cộng lũy tuyến đến ngày thu hoạch đầu tiên</t>
  </si>
  <si>
    <t>Chỉ tiêu</t>
  </si>
  <si>
    <t>Tần suất đo</t>
  </si>
  <si>
    <t>2 lần/ngày</t>
  </si>
  <si>
    <t xml:space="preserve">Tuần đầu </t>
  </si>
  <si>
    <t>Tuần thứ 2 - tháng đầu tiên</t>
  </si>
  <si>
    <t>2 tháng tiếp theo</t>
  </si>
  <si>
    <t xml:space="preserve"> Các tháng còn lại</t>
  </si>
  <si>
    <t>7 - 8</t>
  </si>
  <si>
    <t>Buổi sáng thấp hơn buổi chiều chênh lệch trong ngày không quá 0.5, bước nhảy 0.1</t>
  </si>
  <si>
    <t>Tháng 6 - 10</t>
  </si>
  <si>
    <t>Tháng 2 - 5</t>
  </si>
  <si>
    <t>Tháng 11 - 1</t>
  </si>
  <si>
    <t>Lấy theo môi trường ngày đầu tiên thả cá buổi sáng các chỉ tiêu: DO, pH, nhiệt độ. Các chỉ tiêu mặc định: H2S = 0, NH3: = 0.01 (khi pH = 7) hoặc 0.03 (khi pH = 7.5), Độ kiềm cho chọn 71.6 hoặc 89.5</t>
  </si>
  <si>
    <t>Lấy lượng nước mức 1</t>
  </si>
  <si>
    <t>Lấy lượng nước mức 2</t>
  </si>
  <si>
    <t>Lấy lượng mức 4 vào ngày thu hoạch cuối</t>
  </si>
  <si>
    <t>Lấy lượng nước mức 2 hoặc 3 hoặc bỏ nhịp tùy thuộc vào tổng lượng nước cấp có vượt quy định không</t>
  </si>
  <si>
    <t>Thời gian nuôi (tháng)</t>
  </si>
  <si>
    <t>Tăng trọng/tháng (g)</t>
  </si>
  <si>
    <t>TLBQ (g)</t>
  </si>
  <si>
    <t>≤ 15%</t>
  </si>
  <si>
    <t>Cấp lại 1m nước cho vụ mới</t>
  </si>
  <si>
    <t>Ngay nhịp thay nước của vùng trước ngày sử dụng thuốc đầu tiên</t>
  </si>
  <si>
    <t>Có trường nhập tên người phụ trách ao và cho phép thay đổi vào thời gian khi luân chuyển nhân sự giữa các vùng.</t>
  </si>
  <si>
    <t>Tổng hợp lượng thức ăn của các ao/ngày chọn đơn vị tính (bao/túi) để tính số lượng bao bì rỗng (40kg/bao, 600kg/túi) sang biểu mẫu P305-F37 - Sổ giao nhận chất thải</t>
  </si>
  <si>
    <t>Khi tăng giảm thức ăn không được chênh lệch quá 50% của ngày hôm trước</t>
  </si>
  <si>
    <t>Lượng thức ăn tối đa theo giai đoạn = (4*(TLBQ* số lượng cá đang có trong ao))/100</t>
  </si>
  <si>
    <t>Lượng thức ăn tối đa theo giai đoạn = (3*(TLBQ* số lượng cá đang có trong ao))/100</t>
  </si>
  <si>
    <t>Lượng thức ăn tối đa theo giai đoạn = (2*(TLBQ* số lượng cá đang có trong ao))/100</t>
  </si>
  <si>
    <t>Tổng hợp lượng hóa chất sử dụng của các ao/ngày về sổ kho phân biệt theo loại vào biểu mẫu P303-F04 - Sổ theo dõi hóa chất =&gt; sẽ nhập tay thông tin: ngày nhập, lượng, MSL, HSD. Lấy thông tin nhà sản xuất và quy cách từ file " Danh mục hóa chất". Có cảnh báo khi phát hiện hết HSD.</t>
  </si>
  <si>
    <t>Tính từ lúc thả đến tháng thứ nhất thì thay 2 lần/tháng (theo nhịp thay nước)</t>
  </si>
  <si>
    <t>Tháng thứ 2 thay 3 lần/tháng (theo nhịp thay nước)</t>
  </si>
  <si>
    <t>Tháng thứ 3 thay 4 lần/tháng (theo nhịp thay nước)</t>
  </si>
  <si>
    <t>Tháng thứ 4 trở đi thay 5-10 lần/tháng (theo nhịp thay nước)</t>
  </si>
  <si>
    <t>Nội dung</t>
  </si>
  <si>
    <t>STT</t>
  </si>
  <si>
    <t>DANH MỤC HÓA CHẤT</t>
  </si>
  <si>
    <t xml:space="preserve">TÊN </t>
  </si>
  <si>
    <t>LƯỢNG SỬ DỤNG</t>
  </si>
  <si>
    <t>CÔNG DỤNG</t>
  </si>
  <si>
    <t>CTY SẢN XUẤT</t>
  </si>
  <si>
    <r>
      <t xml:space="preserve">VITALUCAN - B12 </t>
    </r>
    <r>
      <rPr>
        <vertAlign val="superscript"/>
        <sz val="12"/>
        <rFont val="Times New Roman"/>
        <family val="1"/>
      </rPr>
      <t>NEW</t>
    </r>
  </si>
  <si>
    <t>3kg/1 tấn thức ăn</t>
  </si>
  <si>
    <t>Bổ sung dinh dưỡng</t>
  </si>
  <si>
    <t>Công ty Cổ Phần UV</t>
  </si>
  <si>
    <t>VIMELEC CONCENTRATED</t>
  </si>
  <si>
    <t>1kg/1 tấn thức ăn</t>
  </si>
  <si>
    <t>Công ty TNHH MTV Thuốc thú y &amp; Chế phẩm sinh học Vemedim</t>
  </si>
  <si>
    <t>VITAMIN C ANTISTRESS</t>
  </si>
  <si>
    <t>1 kg/500kg thức ăn</t>
  </si>
  <si>
    <t>UV - FeB12 max</t>
  </si>
  <si>
    <t>1 lít / 500 kg thức ăn</t>
  </si>
  <si>
    <t>UV-ZYMLUS MAX</t>
  </si>
  <si>
    <t>1 lít / 700 kg thức ăn</t>
  </si>
  <si>
    <t>PZOZYME</t>
  </si>
  <si>
    <t>HEPAMIN super</t>
  </si>
  <si>
    <t>1 lít /300 kg thức ăn</t>
  </si>
  <si>
    <t xml:space="preserve">Công ty Cổ Phần UV </t>
  </si>
  <si>
    <t>BIO IMMUNE-100</t>
  </si>
  <si>
    <t>1 lít/1 tấn thức ăn</t>
  </si>
  <si>
    <t>CÔNG TY TNHH THƯƠNG MẠI DỊCH VỤ KHANG ANH</t>
  </si>
  <si>
    <t>PHYLUS</t>
  </si>
  <si>
    <t>2kg/1tấn thức ăn</t>
  </si>
  <si>
    <t>UV-BIOMAX</t>
  </si>
  <si>
    <r>
      <t>1kg </t>
    </r>
    <r>
      <rPr>
        <sz val="12"/>
        <color rgb="FF000000"/>
        <rFont val="Times New Roman"/>
        <family val="1"/>
      </rPr>
      <t>/500kg thức ăn</t>
    </r>
  </si>
  <si>
    <t>VITALEC FISH +</t>
  </si>
  <si>
    <t>Provimi</t>
  </si>
  <si>
    <t>LIVERED</t>
  </si>
  <si>
    <t>1 bộ /300kg thức ăn</t>
  </si>
  <si>
    <t>UV-BIOLAC</t>
  </si>
  <si>
    <t>Cá &lt; 100g : 1lít/300 kg thức ăn
Cá &gt; 100g: 1 lít/700kg thức ăn</t>
  </si>
  <si>
    <t>CHOLINE-H</t>
  </si>
  <si>
    <t xml:space="preserve">1kg/1 tấn thức ăn </t>
  </si>
  <si>
    <t>UV-VITALET new</t>
  </si>
  <si>
    <t>1 kg /500kg thức ăn</t>
  </si>
  <si>
    <t>BIO-C COMPLEX</t>
  </si>
  <si>
    <t>1kg /1 tấn thức ăn</t>
  </si>
  <si>
    <t xml:space="preserve"> CÔNG TY TNHH THƯƠNG MẠI DỊCH VỤ KHANG ANH</t>
  </si>
  <si>
    <t>P - COMPLEX  - TẢO - 100</t>
  </si>
  <si>
    <t>1 kg /1 tấn thức ăn</t>
  </si>
  <si>
    <t>VIT 2</t>
  </si>
  <si>
    <t>Công ty TNHH Tiệp Phát</t>
  </si>
  <si>
    <t>VC-FISH</t>
  </si>
  <si>
    <t>UV-C MIN</t>
  </si>
  <si>
    <t>AQUA C ®  FISH PLUS</t>
  </si>
  <si>
    <t>1kg /500 kg thức ăn</t>
  </si>
  <si>
    <t>MSD ANIMAL HEALTH VIỆT NAM</t>
  </si>
  <si>
    <t>Lactozyme</t>
  </si>
  <si>
    <t>FOLIC new</t>
  </si>
  <si>
    <t>PRO-POND new</t>
  </si>
  <si>
    <t>Trước thả cá 0,5l /5.000m3
Dùng 0,5l /2.000m3</t>
  </si>
  <si>
    <r>
      <t xml:space="preserve">COMPLEX </t>
    </r>
    <r>
      <rPr>
        <vertAlign val="subscript"/>
        <sz val="12"/>
        <rFont val="Times New Roman"/>
        <family val="1"/>
      </rPr>
      <t>NEW</t>
    </r>
  </si>
  <si>
    <t>1lít/7.000m3</t>
  </si>
  <si>
    <t>D - FLOW</t>
  </si>
  <si>
    <t xml:space="preserve"> 2 lit/1000m3
</t>
  </si>
  <si>
    <t>PINPANAT INTERNATIONAL Co., Ltd - THAILAND</t>
  </si>
  <si>
    <t>RODO-UV</t>
  </si>
  <si>
    <t>1 lít /1.500 m3</t>
  </si>
  <si>
    <t>Z-17</t>
  </si>
  <si>
    <t>1 kg/10.000 m3</t>
  </si>
  <si>
    <t>TRICON</t>
  </si>
  <si>
    <t>1kg /10.000m2</t>
  </si>
  <si>
    <t>ICON Formulation (Ấn Độ)</t>
  </si>
  <si>
    <t>EM-F1</t>
  </si>
  <si>
    <t>Trước khi thả: 1 lít/2500m3, sử dụng 2 ngày liên tục.
-  1 lít/2000 m3 nước, sử dụng 2 ngày liên tục</t>
  </si>
  <si>
    <t>VÔI</t>
  </si>
  <si>
    <r>
      <t>Trước khi thả
500kg/10.000 m</t>
    </r>
    <r>
      <rPr>
        <vertAlign val="superscript"/>
        <sz val="12"/>
        <rFont val="Times New Roman"/>
        <family val="1"/>
      </rPr>
      <t>2</t>
    </r>
    <r>
      <rPr>
        <sz val="12"/>
        <rFont val="Times New Roman"/>
        <family val="1"/>
      </rPr>
      <t>.
Sử dụng trong thời gian nuôi:
20 kg/10.000 m</t>
    </r>
    <r>
      <rPr>
        <vertAlign val="superscript"/>
        <sz val="12"/>
        <rFont val="Times New Roman"/>
        <family val="1"/>
      </rPr>
      <t>3</t>
    </r>
    <r>
      <rPr>
        <sz val="12"/>
        <rFont val="Times New Roman"/>
        <family val="1"/>
      </rPr>
      <t>.</t>
    </r>
  </si>
  <si>
    <t>Công ty Cổ phần Chăn nuôi C.P Việt Nam - Chi nhánh NM 5 tại Đồng Nai.</t>
  </si>
  <si>
    <t>GLU-RV new</t>
  </si>
  <si>
    <t>1 lít/6.000m3</t>
  </si>
  <si>
    <t>Pond-Rhodo</t>
  </si>
  <si>
    <t>1 lít/1.500 m3 nước, sử dụng 2 ngày liên tục.</t>
  </si>
  <si>
    <t>RHODO POWER</t>
  </si>
  <si>
    <t xml:space="preserve">
- Tháng thứ nhất: Sử dụng 1 lít / 10.000 m2
- Tháng thứ hai: Sử dụng 3lít / 10.000 m2
- Tháng thứ ba: Sử dụng 5/ 10.000 m2
- Tháng thứ tư: Sử dụng 7/ 10.000 m2</t>
  </si>
  <si>
    <t xml:space="preserve"> Công Ty TNHH Công Nghệ Sinh Học ứng Dụng Abtech</t>
  </si>
  <si>
    <t>BIO-ZEOTC</t>
  </si>
  <si>
    <t xml:space="preserve">
1kg /1000m2
</t>
  </si>
  <si>
    <t>WIN-POND</t>
  </si>
  <si>
    <t xml:space="preserve"> 3kg/8000m3, sử dụng 1 lần liên tục 2 ngày.</t>
  </si>
  <si>
    <t>HIVIDINE 90</t>
  </si>
  <si>
    <t>1 lít /1.500 m3 nước</t>
  </si>
  <si>
    <t>Công Ty TNHH Tiệp Phát</t>
  </si>
  <si>
    <t>YUCCA NEO</t>
  </si>
  <si>
    <r>
      <t>1 lít/ 13000m</t>
    </r>
    <r>
      <rPr>
        <vertAlign val="superscript"/>
        <sz val="12"/>
        <rFont val="Times New Roman"/>
        <family val="1"/>
      </rPr>
      <t>2</t>
    </r>
  </si>
  <si>
    <t>ASI-ANTI SHOCK</t>
  </si>
  <si>
    <t>1kg/ 5.000 m3</t>
  </si>
  <si>
    <t>Chi Nhánh Công ty Cổ phần TM, SX Thuốc Thú y THỊNH Á (ASIFAC)</t>
  </si>
  <si>
    <t>FIBA</t>
  </si>
  <si>
    <r>
      <t>1lit/1.000m</t>
    </r>
    <r>
      <rPr>
        <vertAlign val="superscript"/>
        <sz val="12"/>
        <rFont val="Times New Roman"/>
        <family val="1"/>
      </rPr>
      <t>3</t>
    </r>
    <r>
      <rPr>
        <sz val="12"/>
        <rFont val="Times New Roman"/>
        <family val="1"/>
      </rPr>
      <t xml:space="preserve"> nước</t>
    </r>
  </si>
  <si>
    <t xml:space="preserve">Trị ký sinh </t>
  </si>
  <si>
    <t>Công ty TNHH Thủy Sinh</t>
  </si>
  <si>
    <t>LICINIL -100</t>
  </si>
  <si>
    <t>FENBOVET-P</t>
  </si>
  <si>
    <t>VIME -
FENFISH</t>
  </si>
  <si>
    <t xml:space="preserve">
1lit/1,5 - 2 tấn thức ăn</t>
  </si>
  <si>
    <t>Trị bệnh</t>
  </si>
  <si>
    <r>
      <t xml:space="preserve">TLBQ (kg/gr):
</t>
    </r>
    <r>
      <rPr>
        <b/>
        <i/>
        <sz val="9"/>
        <rFont val="Times New Roman"/>
        <family val="1"/>
      </rPr>
      <t>average weight:</t>
    </r>
  </si>
  <si>
    <r>
      <t xml:space="preserve">Mật độ (kg/m2):
</t>
    </r>
    <r>
      <rPr>
        <b/>
        <i/>
        <sz val="9"/>
        <rFont val="Times New Roman"/>
        <family val="1"/>
      </rPr>
      <t>density:</t>
    </r>
    <r>
      <rPr>
        <b/>
        <sz val="9"/>
        <rFont val="Times New Roman"/>
        <family val="1"/>
      </rPr>
      <t xml:space="preserve">
 </t>
    </r>
  </si>
  <si>
    <r>
      <t xml:space="preserve">Khi cá chết vượt tỷ lệ quy định thì là cá bệnh và cho cá bệnh ở giai đoạn cá &lt; 100g. 
</t>
    </r>
    <r>
      <rPr>
        <sz val="13"/>
        <color rgb="FF0070C0"/>
        <rFont val="Times New Roman"/>
        <family val="1"/>
      </rPr>
      <t>Trước khi sử dụng thuốc trị bệnh nên cho cá chết vượt quy định 2 ngày và sau ngày cuối cùng sử dụng thuốc 3 - 5 ngày.</t>
    </r>
    <r>
      <rPr>
        <sz val="13"/>
        <color rgb="FFFF0000"/>
        <rFont val="Times New Roman"/>
        <family val="2"/>
      </rPr>
      <t xml:space="preserve">
Trước khi sử dụng thuốc trị ký sinh trùng nên cho cá chết vượt quy định 1 ngày và sau ngày cuối cùng sử dụng thuốc 1 - 2 ngày.</t>
    </r>
  </si>
  <si>
    <t>Ao lắng</t>
  </si>
  <si>
    <t>vùng nuôi có 2 ao lắng sẽ cho xả thải khác ngày nhau và đảm bảo trong tháng có 2 đợt thải cùng ngày. Đảm bảo tổng lượng xả không vượt 10.000m3/ngày đối với vùng không có giấy phép xả thải</t>
  </si>
  <si>
    <t>Cấp thoát nước ao nuôi</t>
  </si>
  <si>
    <t>Đảm bảo lượng cấp không được vượt 8.640 m3/ngày.</t>
  </si>
  <si>
    <t>Cung cấp danh mục tổng mỗi vùng sẽ được chọn hóa chất sử dụng cho ao và có thể add thêm nếu có hóa chất mới</t>
  </si>
  <si>
    <t>Nhóm trị ký sinh trùng</t>
  </si>
  <si>
    <t>Ao nuôi</t>
  </si>
  <si>
    <t>Khi sử dụng thuốc điều trị bệnh không được thay nước.</t>
  </si>
  <si>
    <t xml:space="preserve"> 5 - 7 ngày bắt đầu sử dụng sau khi cá chết vượt ngưỡng 2 ngày. Không thay nước trong quá trình sử dụng</t>
  </si>
  <si>
    <t>Lê Thanh Long</t>
  </si>
  <si>
    <t>Lê Thanh Thới</t>
  </si>
  <si>
    <t>Lê Văn Tâm</t>
  </si>
  <si>
    <t>Võ Thanh Bình</t>
  </si>
  <si>
    <t>Nguyễn Phi Long</t>
  </si>
  <si>
    <t>Nguyễn Tất Lập</t>
  </si>
  <si>
    <t>Nguyễn Văn Nghĩa</t>
  </si>
  <si>
    <t>Nguyễn Thành Luân</t>
  </si>
  <si>
    <t>Nguyễn Thị Kiều Hoa</t>
  </si>
  <si>
    <t>Nguyễn Văn Hồng</t>
  </si>
  <si>
    <t>Trần Văn Bé Sáu</t>
  </si>
  <si>
    <t>Nguyễn Thu Hà</t>
  </si>
  <si>
    <t>Trương Hoàng Nhựt</t>
  </si>
  <si>
    <t>Phan Thanh Hào</t>
  </si>
  <si>
    <t>Trần Văn Vĩnh</t>
  </si>
  <si>
    <t>Võ Duy Trường</t>
  </si>
  <si>
    <t>Huỳnh Bích Thủy</t>
  </si>
  <si>
    <t>Nguyễn Thị Kim Phượng</t>
  </si>
  <si>
    <t>Cao Bảo Trọng</t>
  </si>
  <si>
    <t>Nguyễn Thành Bờ (Nguyễn Thị Nhung)</t>
  </si>
  <si>
    <t>Trần Tuấn Tú</t>
  </si>
  <si>
    <t>Lê Chánh Tây</t>
  </si>
  <si>
    <t>Nguyễn Văn Thẳng</t>
  </si>
  <si>
    <t>Nguyễn Thành Lộc</t>
  </si>
  <si>
    <t>SỐ GHE</t>
  </si>
  <si>
    <t>ĐT-26106</t>
  </si>
  <si>
    <t>ĐT-25312</t>
  </si>
  <si>
    <t>AG-10933</t>
  </si>
  <si>
    <t>ĐT-23433</t>
  </si>
  <si>
    <t>ĐT-25411</t>
  </si>
  <si>
    <t>AG-24686</t>
  </si>
  <si>
    <t>CT-10927</t>
  </si>
  <si>
    <t>ĐT-25474</t>
  </si>
  <si>
    <t>ĐT-25568</t>
  </si>
  <si>
    <t>ĐT-23965</t>
  </si>
  <si>
    <t>AG-21833</t>
  </si>
  <si>
    <t>ĐT-25467</t>
  </si>
  <si>
    <t>ĐT-22759</t>
  </si>
  <si>
    <t>AG-22967</t>
  </si>
  <si>
    <t>ĐT-25986</t>
  </si>
  <si>
    <t>ĐT-25142</t>
  </si>
  <si>
    <t>ĐT-22677</t>
  </si>
  <si>
    <t>ĐT-23835</t>
  </si>
  <si>
    <t>AG-21503</t>
  </si>
  <si>
    <t>ĐT-22214</t>
  </si>
  <si>
    <t>AG-25290</t>
  </si>
  <si>
    <t>CT-11073</t>
  </si>
  <si>
    <t>ĐT-01594</t>
  </si>
  <si>
    <t>ĐT-26337</t>
  </si>
  <si>
    <t>TẢI TRỌNG HÀNG</t>
  </si>
  <si>
    <t>NGƯỜI VẬN CHUYỂN</t>
  </si>
  <si>
    <r>
      <t>Nhiệt độ nước  Temperature (</t>
    </r>
    <r>
      <rPr>
        <vertAlign val="superscript"/>
        <sz val="12"/>
        <rFont val="Times New Roman"/>
        <family val="1"/>
      </rPr>
      <t>o</t>
    </r>
    <r>
      <rPr>
        <sz val="12"/>
        <rFont val="Times New Roman"/>
        <family val="1"/>
      </rPr>
      <t>C)</t>
    </r>
  </si>
  <si>
    <t>Các thông tin yêu được thao tác nhập liệu: Thời gian thu hoạch, Sản lượng thu hoạch, TLBQ thu hoạch và thu tỉa, FCR</t>
  </si>
  <si>
    <t>Có báo cáo tốc độ tăng trưởng, mật độ của tất cả các ao khi chọn 1 ngày bất kì trong quá trình nuôi</t>
  </si>
  <si>
    <t>Tổng hợp số lượng cá chết kg/ngày trừ lượng cá chết của những ao cá chết vượt ngưỡng sang biểu mẫu P305-F37 - Sổ giao nhận chất thải</t>
  </si>
  <si>
    <t>Tổng hợp thông tin ngày cân mẫu như: Ngày, ao, số con cá chết, TLBQ, loại + lượng hóa chất sử dụng vào biểu mẫu P303-F07</t>
  </si>
  <si>
    <t>Tổng hợp thông tin ngày có sử dụng hóa chất trừ thuốc trị bệnh và trị ký sinh các thông tin như: Ngày, Ao, tên sản phẩm, đơn vị tính, lượng, lý do sử dụng vào biểu mẫu P303-F06 - Phiếu chỉ định sản phẩm.</t>
  </si>
  <si>
    <r>
      <t xml:space="preserve">BIÊN BẢN GIAO NHẬN THỨC ĂN 
</t>
    </r>
    <r>
      <rPr>
        <b/>
        <i/>
        <sz val="16"/>
        <rFont val="Times New Roman"/>
        <family val="1"/>
      </rPr>
      <t>Minutes of feed delivery record</t>
    </r>
  </si>
  <si>
    <r>
      <t xml:space="preserve">Mã số/ </t>
    </r>
    <r>
      <rPr>
        <i/>
        <sz val="10"/>
        <color indexed="8"/>
        <rFont val="Times New Roman"/>
        <family val="1"/>
      </rPr>
      <t>Code:</t>
    </r>
    <r>
      <rPr>
        <b/>
        <sz val="10"/>
        <color indexed="8"/>
        <rFont val="Times New Roman"/>
        <family val="1"/>
      </rPr>
      <t>P301-F06</t>
    </r>
  </si>
  <si>
    <r>
      <t xml:space="preserve">Lần soát xét/ </t>
    </r>
    <r>
      <rPr>
        <i/>
        <sz val="10"/>
        <color indexed="8"/>
        <rFont val="Times New Roman"/>
        <family val="1"/>
      </rPr>
      <t>Version:</t>
    </r>
    <r>
      <rPr>
        <sz val="10"/>
        <color indexed="8"/>
        <rFont val="Times New Roman"/>
        <family val="1"/>
      </rPr>
      <t xml:space="preserve"> 03</t>
    </r>
  </si>
  <si>
    <r>
      <t>Hôm nay/</t>
    </r>
    <r>
      <rPr>
        <i/>
        <sz val="12"/>
        <color indexed="10"/>
        <rFont val="Times New Roman"/>
        <family val="1"/>
      </rPr>
      <t xml:space="preserve"> Today</t>
    </r>
    <r>
      <rPr>
        <sz val="12"/>
        <color indexed="10"/>
        <rFont val="Times New Roman"/>
        <family val="1"/>
      </rPr>
      <t xml:space="preserve">, ngày/ </t>
    </r>
    <r>
      <rPr>
        <i/>
        <sz val="12"/>
        <color indexed="10"/>
        <rFont val="Times New Roman"/>
        <family val="1"/>
      </rPr>
      <t>date</t>
    </r>
    <r>
      <rPr>
        <sz val="12"/>
        <color indexed="10"/>
        <rFont val="Times New Roman"/>
        <family val="1"/>
      </rPr>
      <t xml:space="preserve">         tháng/ </t>
    </r>
    <r>
      <rPr>
        <i/>
        <sz val="12"/>
        <color indexed="10"/>
        <rFont val="Times New Roman"/>
        <family val="1"/>
      </rPr>
      <t>month</t>
    </r>
    <r>
      <rPr>
        <sz val="12"/>
        <color indexed="10"/>
        <rFont val="Times New Roman"/>
        <family val="1"/>
      </rPr>
      <t xml:space="preserve">          năm/ </t>
    </r>
    <r>
      <rPr>
        <i/>
        <sz val="12"/>
        <color indexed="10"/>
        <rFont val="Times New Roman"/>
        <family val="1"/>
      </rPr>
      <t>year</t>
    </r>
    <r>
      <rPr>
        <sz val="12"/>
        <color indexed="10"/>
        <rFont val="Times New Roman"/>
        <family val="1"/>
      </rPr>
      <t xml:space="preserve"> 20    , Tại vùng nuôi</t>
    </r>
    <r>
      <rPr>
        <i/>
        <sz val="12"/>
        <color indexed="10"/>
        <rFont val="Times New Roman"/>
        <family val="1"/>
      </rPr>
      <t>/at farm</t>
    </r>
    <r>
      <rPr>
        <sz val="12"/>
        <color indexed="10"/>
        <rFont val="Times New Roman"/>
        <family val="1"/>
      </rPr>
      <t xml:space="preserve">:…................….. Chúng tôi gồm/ </t>
    </r>
    <r>
      <rPr>
        <i/>
        <sz val="12"/>
        <color indexed="10"/>
        <rFont val="Times New Roman"/>
        <family val="1"/>
      </rPr>
      <t>we are hereby</t>
    </r>
    <r>
      <rPr>
        <sz val="12"/>
        <color indexed="10"/>
        <rFont val="Times New Roman"/>
        <family val="1"/>
      </rPr>
      <t>:…............................</t>
    </r>
  </si>
  <si>
    <t>1/</t>
  </si>
  <si>
    <t>……………………………….</t>
  </si>
  <si>
    <t>……………………………………</t>
  </si>
  <si>
    <t>2/</t>
  </si>
  <si>
    <r>
      <t xml:space="preserve">Tiến hành vận chuyển và giao nhận thức ăn với các thông tin/số liệu sau:
</t>
    </r>
    <r>
      <rPr>
        <i/>
        <sz val="12"/>
        <color indexed="8"/>
        <rFont val="Times New Roman"/>
        <family val="1"/>
      </rPr>
      <t>Carry out the transport and delivery of feed with the following information/ data:</t>
    </r>
  </si>
  <si>
    <r>
      <t>Tên ghe/tàu/</t>
    </r>
    <r>
      <rPr>
        <i/>
        <sz val="12"/>
        <color indexed="8"/>
        <rFont val="Times New Roman"/>
        <family val="1"/>
      </rPr>
      <t>The name of the boat</t>
    </r>
    <r>
      <rPr>
        <sz val="12"/>
        <color indexed="8"/>
        <rFont val="Times New Roman"/>
        <family val="1"/>
      </rPr>
      <t>:……………………Mã số/</t>
    </r>
    <r>
      <rPr>
        <i/>
        <sz val="12"/>
        <color indexed="8"/>
        <rFont val="Times New Roman"/>
        <family val="1"/>
      </rPr>
      <t>Code</t>
    </r>
    <r>
      <rPr>
        <sz val="12"/>
        <color indexed="8"/>
        <rFont val="Times New Roman"/>
        <family val="1"/>
      </rPr>
      <t xml:space="preserve">:…………………………….  </t>
    </r>
  </si>
  <si>
    <r>
      <t>STT/</t>
    </r>
    <r>
      <rPr>
        <i/>
        <sz val="12"/>
        <color indexed="8"/>
        <rFont val="Times New Roman"/>
        <family val="1"/>
      </rPr>
      <t>No.</t>
    </r>
  </si>
  <si>
    <r>
      <t xml:space="preserve">Nhà sản xuất thức ăn
</t>
    </r>
    <r>
      <rPr>
        <i/>
        <sz val="12"/>
        <color indexed="8"/>
        <rFont val="Times New Roman"/>
        <family val="1"/>
      </rPr>
      <t>Production company</t>
    </r>
  </si>
  <si>
    <r>
      <t xml:space="preserve">Kích cỡ
</t>
    </r>
    <r>
      <rPr>
        <i/>
        <sz val="12"/>
        <color indexed="8"/>
        <rFont val="Times New Roman"/>
        <family val="1"/>
      </rPr>
      <t>Size</t>
    </r>
  </si>
  <si>
    <r>
      <t xml:space="preserve">Quy cách </t>
    </r>
    <r>
      <rPr>
        <i/>
        <sz val="12"/>
        <color indexed="8"/>
        <rFont val="Times New Roman"/>
        <family val="1"/>
      </rPr>
      <t>Packing</t>
    </r>
  </si>
  <si>
    <r>
      <t xml:space="preserve">ĐVT
</t>
    </r>
    <r>
      <rPr>
        <i/>
        <sz val="12"/>
        <color indexed="10"/>
        <rFont val="Times New Roman"/>
        <family val="1"/>
      </rPr>
      <t>Unit</t>
    </r>
  </si>
  <si>
    <r>
      <t xml:space="preserve">Số lượng </t>
    </r>
    <r>
      <rPr>
        <i/>
        <sz val="12"/>
        <color indexed="8"/>
        <rFont val="Times New Roman"/>
        <family val="1"/>
      </rPr>
      <t>Quantity</t>
    </r>
  </si>
  <si>
    <r>
      <t xml:space="preserve">Ghi chú khác
</t>
    </r>
    <r>
      <rPr>
        <i/>
        <sz val="12"/>
        <color indexed="8"/>
        <rFont val="Times New Roman"/>
        <family val="1"/>
      </rPr>
      <t>Note</t>
    </r>
  </si>
  <si>
    <t>(1)</t>
  </si>
  <si>
    <t>(2)</t>
  </si>
  <si>
    <t>(3)</t>
  </si>
  <si>
    <t>(4)</t>
  </si>
  <si>
    <t>(5)</t>
  </si>
  <si>
    <t>(6)</t>
  </si>
  <si>
    <t>(7)</t>
  </si>
  <si>
    <r>
      <t xml:space="preserve">Tổng/ </t>
    </r>
    <r>
      <rPr>
        <b/>
        <i/>
        <sz val="12"/>
        <color indexed="8"/>
        <rFont val="Times New Roman"/>
        <family val="1"/>
      </rPr>
      <t>Total</t>
    </r>
    <r>
      <rPr>
        <b/>
        <sz val="12"/>
        <color indexed="8"/>
        <rFont val="Times New Roman"/>
        <family val="1"/>
      </rPr>
      <t>:</t>
    </r>
  </si>
  <si>
    <r>
      <t xml:space="preserve">Tình trạng vệ sinh của phương tiện vận chuyển/ </t>
    </r>
    <r>
      <rPr>
        <i/>
        <sz val="12"/>
        <color indexed="8"/>
        <rFont val="Times New Roman"/>
        <family val="1"/>
      </rPr>
      <t>Status of hygiene</t>
    </r>
    <r>
      <rPr>
        <sz val="12"/>
        <color indexed="8"/>
        <rFont val="Times New Roman"/>
        <family val="1"/>
      </rPr>
      <t>:</t>
    </r>
  </si>
  <si>
    <t>STT/ No.</t>
  </si>
  <si>
    <r>
      <t xml:space="preserve">Chỉ tiêu kiểm tra </t>
    </r>
    <r>
      <rPr>
        <i/>
        <sz val="12"/>
        <color indexed="8"/>
        <rFont val="Times New Roman"/>
        <family val="1"/>
      </rPr>
      <t>Parameters testing</t>
    </r>
  </si>
  <si>
    <r>
      <t xml:space="preserve">Có
</t>
    </r>
    <r>
      <rPr>
        <i/>
        <sz val="12"/>
        <color indexed="8"/>
        <rFont val="Times New Roman"/>
        <family val="1"/>
      </rPr>
      <t>Yes</t>
    </r>
  </si>
  <si>
    <r>
      <t xml:space="preserve">Không
</t>
    </r>
    <r>
      <rPr>
        <i/>
        <sz val="12"/>
        <color indexed="8"/>
        <rFont val="Times New Roman"/>
        <family val="1"/>
      </rPr>
      <t>No</t>
    </r>
  </si>
  <si>
    <r>
      <t>Hành động khắc phục</t>
    </r>
    <r>
      <rPr>
        <i/>
        <sz val="12"/>
        <rFont val="Times New Roman"/>
        <family val="1"/>
      </rPr>
      <t xml:space="preserve"> Corrective action</t>
    </r>
  </si>
  <si>
    <r>
      <t xml:space="preserve">Đạt
</t>
    </r>
    <r>
      <rPr>
        <i/>
        <sz val="12"/>
        <rFont val="Times New Roman"/>
        <family val="1"/>
      </rPr>
      <t>Ok</t>
    </r>
  </si>
  <si>
    <r>
      <t xml:space="preserve">K.Đạt
</t>
    </r>
    <r>
      <rPr>
        <i/>
        <sz val="12"/>
        <rFont val="Times New Roman"/>
        <family val="1"/>
      </rPr>
      <t>Not ok</t>
    </r>
  </si>
  <si>
    <r>
      <t xml:space="preserve">Dầu nhớt vương vãi
</t>
    </r>
    <r>
      <rPr>
        <i/>
        <sz val="12"/>
        <color indexed="8"/>
        <rFont val="Times New Roman"/>
        <family val="1"/>
      </rPr>
      <t>Gasoline, diesel</t>
    </r>
  </si>
  <si>
    <r>
      <t xml:space="preserve">Rác thải, rong rêu, bùn đất 
</t>
    </r>
    <r>
      <rPr>
        <i/>
        <sz val="12"/>
        <color indexed="8"/>
        <rFont val="Times New Roman"/>
        <family val="1"/>
      </rPr>
      <t>Garbage, mould, mud</t>
    </r>
  </si>
  <si>
    <r>
      <t xml:space="preserve">Khô ráo
</t>
    </r>
    <r>
      <rPr>
        <i/>
        <sz val="12"/>
        <color indexed="8"/>
        <rFont val="Times New Roman"/>
        <family val="1"/>
      </rPr>
      <t>Dry</t>
    </r>
  </si>
  <si>
    <r>
      <t>Địa điểm ghe/tàu đã đến 48 giờ trước/</t>
    </r>
    <r>
      <rPr>
        <i/>
        <sz val="12"/>
        <color indexed="10"/>
        <rFont val="Times New Roman"/>
        <family val="1"/>
        <charset val="163"/>
      </rPr>
      <t>The location of the boat/train arrived 48 hours ago</t>
    </r>
    <r>
      <rPr>
        <sz val="12"/>
        <color indexed="10"/>
        <rFont val="Times New Roman"/>
        <family val="1"/>
        <charset val="163"/>
      </rPr>
      <t>: 
………………………………………………………………………………………………………..</t>
    </r>
  </si>
  <si>
    <r>
      <t xml:space="preserve">Tình trạng bao bì lúc giao nhận:
</t>
    </r>
    <r>
      <rPr>
        <i/>
        <sz val="12"/>
        <color indexed="8"/>
        <rFont val="Times New Roman"/>
        <family val="1"/>
      </rPr>
      <t>Packing condition at merchandise exchange:</t>
    </r>
  </si>
  <si>
    <t>Nguyên vẹn/ Integrity</t>
  </si>
  <si>
    <r>
      <t xml:space="preserve">   Có/</t>
    </r>
    <r>
      <rPr>
        <i/>
        <sz val="12"/>
        <color indexed="8"/>
        <rFont val="Times New Roman"/>
        <family val="1"/>
      </rPr>
      <t xml:space="preserve">Yes </t>
    </r>
    <r>
      <rPr>
        <sz val="12"/>
        <color indexed="8"/>
        <rFont val="Times New Roman"/>
        <family val="1"/>
      </rPr>
      <t xml:space="preserve">         </t>
    </r>
  </si>
  <si>
    <r>
      <t>Không/</t>
    </r>
    <r>
      <rPr>
        <i/>
        <sz val="12"/>
        <color indexed="8"/>
        <rFont val="Times New Roman"/>
        <family val="1"/>
      </rPr>
      <t>No</t>
    </r>
  </si>
  <si>
    <t>Khô ráo/ Dry</t>
  </si>
  <si>
    <t>Nấm mốc/ Mould</t>
  </si>
  <si>
    <t>Sạch sẽ/ Clean</t>
  </si>
  <si>
    <r>
      <rPr>
        <sz val="12"/>
        <color indexed="8"/>
        <rFont val="Wingdings"/>
        <charset val="2"/>
      </rPr>
      <t>ð</t>
    </r>
    <r>
      <rPr>
        <sz val="12"/>
        <color indexed="8"/>
        <rFont val="Times New Roman"/>
        <family val="1"/>
      </rPr>
      <t xml:space="preserve"> Kết luận/ </t>
    </r>
    <r>
      <rPr>
        <i/>
        <sz val="12"/>
        <color indexed="8"/>
        <rFont val="Times New Roman"/>
        <family val="1"/>
      </rPr>
      <t>Conclusion</t>
    </r>
  </si>
  <si>
    <r>
      <t xml:space="preserve">   Đạt/ </t>
    </r>
    <r>
      <rPr>
        <i/>
        <sz val="12"/>
        <color indexed="8"/>
        <rFont val="Times New Roman"/>
        <family val="1"/>
      </rPr>
      <t xml:space="preserve">Ok  </t>
    </r>
    <r>
      <rPr>
        <sz val="12"/>
        <color indexed="8"/>
        <rFont val="Times New Roman"/>
        <family val="1"/>
      </rPr>
      <t xml:space="preserve">        </t>
    </r>
  </si>
  <si>
    <r>
      <t xml:space="preserve">            Không đạt/</t>
    </r>
    <r>
      <rPr>
        <i/>
        <sz val="12"/>
        <color indexed="8"/>
        <rFont val="Times New Roman"/>
        <family val="1"/>
      </rPr>
      <t>Not ok</t>
    </r>
  </si>
  <si>
    <r>
      <t xml:space="preserve">Chúng tôi cam đoan tính xác thực của biên bản và chịu hoàn toàn trách nhiệm về tính xác thực của nó.
</t>
    </r>
    <r>
      <rPr>
        <i/>
        <sz val="12"/>
        <color indexed="8"/>
        <rFont val="Times New Roman"/>
        <family val="1"/>
      </rPr>
      <t>We guarantee the authenticity of the minutes and take full responsibility for their authenticity.</t>
    </r>
  </si>
  <si>
    <r>
      <t>Người giao/</t>
    </r>
    <r>
      <rPr>
        <b/>
        <i/>
        <sz val="12"/>
        <color indexed="8"/>
        <rFont val="Times New Roman"/>
        <family val="1"/>
      </rPr>
      <t>Deliver</t>
    </r>
  </si>
  <si>
    <r>
      <t xml:space="preserve">Người nhận/ </t>
    </r>
    <r>
      <rPr>
        <b/>
        <i/>
        <sz val="12"/>
        <color indexed="8"/>
        <rFont val="Times New Roman"/>
        <family val="1"/>
      </rPr>
      <t>Receiver</t>
    </r>
  </si>
  <si>
    <r>
      <t xml:space="preserve">(Ký/ </t>
    </r>
    <r>
      <rPr>
        <i/>
        <sz val="12"/>
        <color indexed="8"/>
        <rFont val="Times New Roman"/>
        <family val="1"/>
      </rPr>
      <t>Sign</t>
    </r>
    <r>
      <rPr>
        <sz val="12"/>
        <color indexed="8"/>
        <rFont val="Times New Roman"/>
        <family val="1"/>
      </rPr>
      <t>, ghi rõ họ tên/ write</t>
    </r>
    <r>
      <rPr>
        <i/>
        <sz val="12"/>
        <color indexed="8"/>
        <rFont val="Times New Roman"/>
        <family val="1"/>
      </rPr>
      <t xml:space="preserve"> full name</t>
    </r>
    <r>
      <rPr>
        <sz val="12"/>
        <color indexed="8"/>
        <rFont val="Times New Roman"/>
        <family val="1"/>
      </rPr>
      <t>)</t>
    </r>
  </si>
  <si>
    <r>
      <t xml:space="preserve">(Ký/ </t>
    </r>
    <r>
      <rPr>
        <i/>
        <sz val="12"/>
        <color indexed="8"/>
        <rFont val="Times New Roman"/>
        <family val="1"/>
      </rPr>
      <t>Sign</t>
    </r>
    <r>
      <rPr>
        <sz val="12"/>
        <color indexed="8"/>
        <rFont val="Times New Roman"/>
        <family val="1"/>
      </rPr>
      <t xml:space="preserve">, ghi rõ họ tên/ </t>
    </r>
    <r>
      <rPr>
        <i/>
        <sz val="12"/>
        <color indexed="8"/>
        <rFont val="Times New Roman"/>
        <family val="1"/>
      </rPr>
      <t>write full name</t>
    </r>
    <r>
      <rPr>
        <sz val="12"/>
        <color indexed="8"/>
        <rFont val="Times New Roman"/>
        <family val="1"/>
      </rPr>
      <t>)</t>
    </r>
  </si>
  <si>
    <r>
      <t xml:space="preserve">PHIẾU THEO DÕI SỨC KHỎE CÁ NUÔI
</t>
    </r>
    <r>
      <rPr>
        <b/>
        <i/>
        <sz val="16"/>
        <rFont val="Times New Roman"/>
        <family val="1"/>
      </rPr>
      <t>Fish healthy monitoring sheet</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</si>
  <si>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P303-F07</t>
    </r>
  </si>
  <si>
    <r>
      <t xml:space="preserve">Vùng nuôi/ </t>
    </r>
    <r>
      <rPr>
        <i/>
        <sz val="12"/>
        <color indexed="10"/>
        <rFont val="Times New Roman"/>
        <family val="1"/>
      </rPr>
      <t>Farm</t>
    </r>
    <r>
      <rPr>
        <i/>
        <sz val="12"/>
        <color indexed="10"/>
        <rFont val="Times New Roman"/>
        <family val="1"/>
      </rPr>
      <t>:</t>
    </r>
  </si>
  <si>
    <r>
      <rPr>
        <sz val="12"/>
        <color indexed="8"/>
        <rFont val="Times New Roman"/>
        <family val="1"/>
      </rPr>
      <t xml:space="preserve">Ngày/ </t>
    </r>
    <r>
      <rPr>
        <i/>
        <sz val="12"/>
        <color indexed="8"/>
        <rFont val="Times New Roman"/>
        <family val="1"/>
      </rPr>
      <t>Date:</t>
    </r>
  </si>
  <si>
    <r>
      <t xml:space="preserve">SỔ GIAO NHẬN CHẤT THẢI
</t>
    </r>
    <r>
      <rPr>
        <b/>
        <i/>
        <sz val="16"/>
        <rFont val="Times New Roman"/>
        <family val="1"/>
      </rPr>
      <t>Waste delivery book</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</si>
  <si>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P305-F37</t>
    </r>
  </si>
  <si>
    <r>
      <t>Vùng nuôi/</t>
    </r>
    <r>
      <rPr>
        <i/>
        <sz val="11"/>
        <rFont val="Times New Roman"/>
        <family val="1"/>
      </rPr>
      <t>Farm:</t>
    </r>
  </si>
  <si>
    <r>
      <t xml:space="preserve">Ngày/
</t>
    </r>
    <r>
      <rPr>
        <b/>
        <i/>
        <sz val="12"/>
        <color indexed="8"/>
        <rFont val="Times New Roman"/>
        <family val="1"/>
      </rPr>
      <t>Date</t>
    </r>
  </si>
  <si>
    <r>
      <t>Loại chất thải/</t>
    </r>
    <r>
      <rPr>
        <b/>
        <i/>
        <sz val="12"/>
        <color indexed="8"/>
        <rFont val="Times New Roman"/>
        <family val="1"/>
      </rPr>
      <t xml:space="preserve"> Type of waste </t>
    </r>
  </si>
  <si>
    <r>
      <t xml:space="preserve">Đơn vị tính/
</t>
    </r>
    <r>
      <rPr>
        <b/>
        <i/>
        <sz val="12"/>
        <color indexed="8"/>
        <rFont val="Times New Roman"/>
        <family val="1"/>
      </rPr>
      <t>Unit</t>
    </r>
  </si>
  <si>
    <r>
      <t xml:space="preserve">Số lượng/ </t>
    </r>
    <r>
      <rPr>
        <b/>
        <i/>
        <sz val="12"/>
        <color indexed="8"/>
        <rFont val="Times New Roman"/>
        <family val="1"/>
      </rPr>
      <t>Quantity</t>
    </r>
    <r>
      <rPr>
        <b/>
        <sz val="12"/>
        <color indexed="8"/>
        <rFont val="Times New Roman"/>
        <family val="1"/>
      </rPr>
      <t xml:space="preserve"> (kg)</t>
    </r>
  </si>
  <si>
    <r>
      <t xml:space="preserve">Người giao/ 
</t>
    </r>
    <r>
      <rPr>
        <b/>
        <i/>
        <sz val="12"/>
        <color indexed="8"/>
        <rFont val="Times New Roman"/>
        <family val="1"/>
      </rPr>
      <t>Deliver</t>
    </r>
  </si>
  <si>
    <r>
      <t xml:space="preserve">Người nhận/
</t>
    </r>
    <r>
      <rPr>
        <b/>
        <i/>
        <sz val="12"/>
        <color indexed="8"/>
        <rFont val="Times New Roman"/>
        <family val="1"/>
      </rPr>
      <t>Receiver</t>
    </r>
  </si>
  <si>
    <r>
      <t xml:space="preserve">Ngày/ </t>
    </r>
    <r>
      <rPr>
        <b/>
        <i/>
        <sz val="13"/>
        <color indexed="10"/>
        <rFont val="Times New Roman"/>
        <family val="1"/>
      </rPr>
      <t>Date:</t>
    </r>
  </si>
  <si>
    <r>
      <t xml:space="preserve">Người giao/ </t>
    </r>
    <r>
      <rPr>
        <b/>
        <i/>
        <sz val="13"/>
        <color indexed="8"/>
        <rFont val="Times New Roman"/>
        <family val="1"/>
      </rPr>
      <t>Deliver</t>
    </r>
  </si>
  <si>
    <r>
      <t xml:space="preserve">Người nhận/ </t>
    </r>
    <r>
      <rPr>
        <b/>
        <i/>
        <sz val="13"/>
        <rFont val="Times New Roman"/>
        <family val="1"/>
      </rPr>
      <t>Receiver</t>
    </r>
  </si>
  <si>
    <r>
      <t xml:space="preserve">PHIẾU CHỈ ĐỊNH SỬ DỤNG SẢN PHẨM
</t>
    </r>
    <r>
      <rPr>
        <b/>
        <i/>
        <sz val="16"/>
        <rFont val="Times New Roman"/>
        <family val="1"/>
      </rPr>
      <t>Product usage indication form</t>
    </r>
    <r>
      <rPr>
        <b/>
        <sz val="16"/>
        <rFont val="Times New Roman"/>
        <family val="1"/>
        <charset val="163"/>
      </rPr>
      <t xml:space="preserve">
Số/</t>
    </r>
    <r>
      <rPr>
        <b/>
        <i/>
        <sz val="16"/>
        <rFont val="Times New Roman"/>
        <family val="1"/>
      </rPr>
      <t xml:space="preserve"> No.</t>
    </r>
    <r>
      <rPr>
        <b/>
        <sz val="16"/>
        <rFont val="Times New Roman"/>
        <family val="1"/>
        <charset val="163"/>
      </rPr>
      <t>: …………….</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</si>
  <si>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P303-F06</t>
    </r>
  </si>
  <si>
    <r>
      <t>Ngày hiệu lực/</t>
    </r>
    <r>
      <rPr>
        <i/>
        <sz val="10"/>
        <color indexed="10"/>
        <rFont val="Times New Roman"/>
        <family val="1"/>
      </rPr>
      <t>Effective:</t>
    </r>
    <r>
      <rPr>
        <sz val="10"/>
        <color indexed="10"/>
        <rFont val="Times New Roman"/>
        <family val="1"/>
      </rPr>
      <t xml:space="preserve"> 01.01.25</t>
    </r>
  </si>
  <si>
    <r>
      <t xml:space="preserve">Ngày/ </t>
    </r>
    <r>
      <rPr>
        <i/>
        <sz val="12"/>
        <rFont val="Times New Roman"/>
        <family val="1"/>
      </rPr>
      <t>Date</t>
    </r>
    <r>
      <rPr>
        <sz val="12"/>
        <rFont val="Times New Roman"/>
        <family val="1"/>
      </rPr>
      <t xml:space="preserve">:                    </t>
    </r>
  </si>
  <si>
    <r>
      <t xml:space="preserve">Tôi tên/ </t>
    </r>
    <r>
      <rPr>
        <i/>
        <sz val="12"/>
        <rFont val="Times New Roman"/>
        <family val="1"/>
      </rPr>
      <t>Name</t>
    </r>
    <r>
      <rPr>
        <sz val="12"/>
        <rFont val="Times New Roman"/>
        <family val="1"/>
        <charset val="163"/>
      </rPr>
      <t xml:space="preserve">:                   </t>
    </r>
  </si>
  <si>
    <r>
      <t>Chức vụ/</t>
    </r>
    <r>
      <rPr>
        <i/>
        <sz val="12"/>
        <rFont val="Times New Roman"/>
        <family val="1"/>
      </rPr>
      <t xml:space="preserve"> Position</t>
    </r>
    <r>
      <rPr>
        <sz val="12"/>
        <rFont val="Times New Roman"/>
        <family val="1"/>
        <charset val="163"/>
      </rPr>
      <t xml:space="preserve">: </t>
    </r>
  </si>
  <si>
    <r>
      <t>Trại/vùng nuôi/</t>
    </r>
    <r>
      <rPr>
        <i/>
        <sz val="12"/>
        <color indexed="10"/>
        <rFont val="Times New Roman"/>
        <family val="1"/>
      </rPr>
      <t>Farm</t>
    </r>
    <r>
      <rPr>
        <sz val="12"/>
        <color indexed="10"/>
        <rFont val="Times New Roman"/>
        <family val="1"/>
        <charset val="163"/>
      </rPr>
      <t>:</t>
    </r>
  </si>
  <si>
    <r>
      <t xml:space="preserve">Đề nghị/ </t>
    </r>
    <r>
      <rPr>
        <i/>
        <sz val="12"/>
        <rFont val="Times New Roman"/>
        <family val="1"/>
      </rPr>
      <t>Proposal</t>
    </r>
    <r>
      <rPr>
        <sz val="12"/>
        <rFont val="Times New Roman"/>
        <family val="1"/>
        <charset val="163"/>
      </rPr>
      <t xml:space="preserve">: </t>
    </r>
  </si>
  <si>
    <r>
      <t xml:space="preserve">STT
</t>
    </r>
    <r>
      <rPr>
        <i/>
        <sz val="12"/>
        <rFont val="Times New Roman"/>
        <family val="1"/>
      </rPr>
      <t>No</t>
    </r>
  </si>
  <si>
    <r>
      <t xml:space="preserve">Ao
</t>
    </r>
    <r>
      <rPr>
        <i/>
        <sz val="12"/>
        <rFont val="Times New Roman"/>
        <family val="1"/>
      </rPr>
      <t>Pond</t>
    </r>
  </si>
  <si>
    <r>
      <t xml:space="preserve">Tên sản phẩm
</t>
    </r>
    <r>
      <rPr>
        <i/>
        <sz val="12"/>
        <rFont val="Times New Roman"/>
        <family val="1"/>
      </rPr>
      <t xml:space="preserve"> Name of  product</t>
    </r>
  </si>
  <si>
    <r>
      <t xml:space="preserve">Đơn vị tính
</t>
    </r>
    <r>
      <rPr>
        <i/>
        <sz val="12"/>
        <rFont val="Times New Roman"/>
        <family val="1"/>
      </rPr>
      <t>Unit</t>
    </r>
  </si>
  <si>
    <r>
      <t xml:space="preserve">Lượng sử dụng
</t>
    </r>
    <r>
      <rPr>
        <i/>
        <sz val="12"/>
        <rFont val="Times New Roman"/>
        <family val="1"/>
      </rPr>
      <t>Quantity</t>
    </r>
  </si>
  <si>
    <r>
      <t xml:space="preserve">Lý do sử dụng
</t>
    </r>
    <r>
      <rPr>
        <i/>
        <sz val="12"/>
        <rFont val="Times New Roman"/>
        <family val="1"/>
      </rPr>
      <t>The reason of use</t>
    </r>
  </si>
  <si>
    <r>
      <t xml:space="preserve">Ghi chú
</t>
    </r>
    <r>
      <rPr>
        <i/>
        <sz val="12"/>
        <rFont val="Times New Roman"/>
        <family val="1"/>
      </rPr>
      <t>Note</t>
    </r>
  </si>
  <si>
    <t>Người đề nghị</t>
  </si>
  <si>
    <t>Proposed by</t>
  </si>
  <si>
    <t>Managed by</t>
  </si>
  <si>
    <r>
      <t>Đơn vị tính/</t>
    </r>
    <r>
      <rPr>
        <i/>
        <sz val="12"/>
        <rFont val="Times New Roman"/>
        <family val="1"/>
      </rPr>
      <t>Uint</t>
    </r>
    <r>
      <rPr>
        <sz val="12"/>
        <rFont val="Times New Roman"/>
        <family val="1"/>
      </rPr>
      <t>:</t>
    </r>
  </si>
  <si>
    <r>
      <t xml:space="preserve">SỔ THEO DÕI HÓA CHẤT/ THỨC ĂN BỔ SUNG/ XỬ LÝ MÔI TRƯỜNG
</t>
    </r>
    <r>
      <rPr>
        <b/>
        <i/>
        <sz val="14"/>
        <rFont val="Times New Roman"/>
        <family val="1"/>
      </rPr>
      <t xml:space="preserve">  The tracking book of chemical/ aquafeed additives/ environment treatment  </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</si>
  <si>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P303-F04</t>
    </r>
  </si>
  <si>
    <r>
      <t xml:space="preserve">Ngày hiệu lực/ </t>
    </r>
    <r>
      <rPr>
        <i/>
        <sz val="10"/>
        <color indexed="10"/>
        <rFont val="Times New Roman"/>
        <family val="1"/>
      </rPr>
      <t>Effective date:</t>
    </r>
    <r>
      <rPr>
        <sz val="10"/>
        <color indexed="10"/>
        <rFont val="Times New Roman"/>
        <family val="1"/>
      </rPr>
      <t xml:space="preserve"> 01.01.25</t>
    </r>
  </si>
  <si>
    <r>
      <t xml:space="preserve">Vùng nuôi/ </t>
    </r>
    <r>
      <rPr>
        <i/>
        <sz val="12"/>
        <rFont val="Times New Roman"/>
        <family val="1"/>
      </rPr>
      <t>Farm</t>
    </r>
    <r>
      <rPr>
        <sz val="12"/>
        <rFont val="Times New Roman"/>
        <family val="1"/>
      </rPr>
      <t>:</t>
    </r>
  </si>
  <si>
    <r>
      <t xml:space="preserve">NGÀY
</t>
    </r>
    <r>
      <rPr>
        <b/>
        <i/>
        <sz val="9"/>
        <rFont val="Times New Roman"/>
        <family val="1"/>
      </rPr>
      <t>Date</t>
    </r>
  </si>
  <si>
    <r>
      <t xml:space="preserve">LƯỢNG 
NHẬP
</t>
    </r>
    <r>
      <rPr>
        <b/>
        <i/>
        <sz val="9"/>
        <rFont val="Times New Roman"/>
        <family val="1"/>
      </rPr>
      <t>Input Quantity</t>
    </r>
  </si>
  <si>
    <r>
      <t xml:space="preserve">MSL/ HSD NHẬP/
</t>
    </r>
    <r>
      <rPr>
        <b/>
        <i/>
        <sz val="9"/>
        <rFont val="Times New Roman"/>
        <family val="1"/>
      </rPr>
      <t xml:space="preserve">Input batch code/ expiry date </t>
    </r>
  </si>
  <si>
    <r>
      <t xml:space="preserve">XUẤT
</t>
    </r>
    <r>
      <rPr>
        <b/>
        <i/>
        <sz val="9"/>
        <rFont val="Times New Roman"/>
        <family val="1"/>
      </rPr>
      <t>Outpout</t>
    </r>
  </si>
  <si>
    <r>
      <t xml:space="preserve">MSL/ HSD XUẤT
</t>
    </r>
    <r>
      <rPr>
        <b/>
        <i/>
        <sz val="9"/>
        <rFont val="Times New Roman"/>
        <family val="1"/>
      </rPr>
      <t xml:space="preserve">Output batch code/ expiry date </t>
    </r>
  </si>
  <si>
    <r>
      <t xml:space="preserve">TỒN
 CUỐI
</t>
    </r>
    <r>
      <rPr>
        <b/>
        <i/>
        <sz val="9"/>
        <rFont val="Times New Roman"/>
        <family val="1"/>
      </rPr>
      <t>Inventory</t>
    </r>
  </si>
  <si>
    <r>
      <t>TÌNH TRẠNG SẢN PHẨM</t>
    </r>
    <r>
      <rPr>
        <b/>
        <i/>
        <sz val="9"/>
        <color indexed="8"/>
        <rFont val="Times New Roman"/>
        <family val="1"/>
      </rPr>
      <t xml:space="preserve"> Product situation</t>
    </r>
  </si>
  <si>
    <r>
      <t xml:space="preserve">GHI CHÚ
</t>
    </r>
    <r>
      <rPr>
        <b/>
        <i/>
        <sz val="9"/>
        <rFont val="Times New Roman"/>
        <family val="1"/>
      </rPr>
      <t>Note</t>
    </r>
  </si>
  <si>
    <r>
      <t xml:space="preserve">Lượng
</t>
    </r>
    <r>
      <rPr>
        <b/>
        <i/>
        <sz val="9"/>
        <rFont val="Times New Roman"/>
        <family val="1"/>
      </rPr>
      <t>Quantity</t>
    </r>
  </si>
  <si>
    <r>
      <t xml:space="preserve">Ao
</t>
    </r>
    <r>
      <rPr>
        <b/>
        <i/>
        <sz val="9"/>
        <rFont val="Times New Roman"/>
        <family val="1"/>
      </rPr>
      <t>Pond</t>
    </r>
  </si>
  <si>
    <r>
      <t xml:space="preserve">Đạt
</t>
    </r>
    <r>
      <rPr>
        <b/>
        <i/>
        <sz val="9"/>
        <rFont val="Times New Roman"/>
        <family val="1"/>
      </rPr>
      <t>Ok</t>
    </r>
  </si>
  <si>
    <r>
      <t xml:space="preserve">Không đạt
</t>
    </r>
    <r>
      <rPr>
        <b/>
        <i/>
        <sz val="9"/>
        <rFont val="Times New Roman"/>
        <family val="1"/>
      </rPr>
      <t>Not ok</t>
    </r>
  </si>
  <si>
    <r>
      <t>Chú thích/</t>
    </r>
    <r>
      <rPr>
        <i/>
        <sz val="12"/>
        <rFont val="Times New Roman"/>
        <family val="1"/>
      </rPr>
      <t>Note</t>
    </r>
    <r>
      <rPr>
        <sz val="12"/>
        <rFont val="Times New Roman"/>
        <family val="1"/>
      </rPr>
      <t xml:space="preserve">: MSL: mã số lô/ </t>
    </r>
    <r>
      <rPr>
        <i/>
        <sz val="12"/>
        <rFont val="Times New Roman"/>
        <family val="1"/>
      </rPr>
      <t>Batch code</t>
    </r>
    <r>
      <rPr>
        <sz val="12"/>
        <rFont val="Times New Roman"/>
        <family val="1"/>
      </rPr>
      <t xml:space="preserve">; HSD: hạn sử dụng/ </t>
    </r>
    <r>
      <rPr>
        <i/>
        <sz val="12"/>
        <rFont val="Times New Roman"/>
        <family val="1"/>
      </rPr>
      <t xml:space="preserve">Lot, expiry date </t>
    </r>
  </si>
  <si>
    <r>
      <t xml:space="preserve">Tình trạng sản phẩm đạt khi/ </t>
    </r>
    <r>
      <rPr>
        <i/>
        <sz val="12"/>
        <rFont val="Times New Roman"/>
        <family val="1"/>
      </rPr>
      <t>Product meet requirements when:</t>
    </r>
    <r>
      <rPr>
        <sz val="12"/>
        <rFont val="Times New Roman"/>
        <family val="1"/>
      </rPr>
      <t xml:space="preserve"> 
Hóa chất nguyên vẹn, khô ráo, sạch sẽ/ </t>
    </r>
    <r>
      <rPr>
        <i/>
        <sz val="12"/>
        <rFont val="Times New Roman"/>
        <family val="1"/>
      </rPr>
      <t>Integrity, dry, clean</t>
    </r>
    <r>
      <rPr>
        <sz val="12"/>
        <rFont val="Times New Roman"/>
        <family val="1"/>
      </rPr>
      <t>.</t>
    </r>
  </si>
  <si>
    <r>
      <t>Ngày/</t>
    </r>
    <r>
      <rPr>
        <i/>
        <sz val="11"/>
        <rFont val="Times New Roman"/>
        <family val="1"/>
      </rPr>
      <t>Date</t>
    </r>
    <r>
      <rPr>
        <sz val="11"/>
        <rFont val="Times New Roman"/>
        <family val="1"/>
      </rPr>
      <t>:</t>
    </r>
  </si>
  <si>
    <r>
      <t>Người giám sát/</t>
    </r>
    <r>
      <rPr>
        <i/>
        <sz val="11"/>
        <rFont val="Times New Roman"/>
        <family val="1"/>
      </rPr>
      <t xml:space="preserve"> Supervisor</t>
    </r>
    <r>
      <rPr>
        <sz val="11"/>
        <rFont val="Times New Roman"/>
        <family val="1"/>
      </rPr>
      <t>:</t>
    </r>
  </si>
  <si>
    <r>
      <t>Người theo dõi/</t>
    </r>
    <r>
      <rPr>
        <i/>
        <sz val="11"/>
        <rFont val="Times New Roman"/>
        <family val="1"/>
      </rPr>
      <t>Followers</t>
    </r>
    <r>
      <rPr>
        <sz val="11"/>
        <rFont val="Times New Roman"/>
        <family val="1"/>
      </rPr>
      <t>:</t>
    </r>
  </si>
  <si>
    <r>
      <t xml:space="preserve">PHIẾU GIAO HÀNG HÓA CHẤT
</t>
    </r>
    <r>
      <rPr>
        <b/>
        <i/>
        <sz val="16"/>
        <rFont val="Times New Roman"/>
        <family val="1"/>
      </rPr>
      <t>Delivery notes of chemical sheet</t>
    </r>
    <r>
      <rPr>
        <b/>
        <sz val="16"/>
        <rFont val="Times New Roman"/>
        <family val="1"/>
        <charset val="163"/>
      </rPr>
      <t xml:space="preserve">
Số/ </t>
    </r>
    <r>
      <rPr>
        <b/>
        <i/>
        <sz val="16"/>
        <rFont val="Times New Roman"/>
        <family val="1"/>
      </rPr>
      <t>No.</t>
    </r>
    <r>
      <rPr>
        <b/>
        <sz val="16"/>
        <rFont val="Times New Roman"/>
        <family val="1"/>
        <charset val="163"/>
      </rPr>
      <t>:……………….</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</si>
  <si>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P303-F03</t>
    </r>
  </si>
  <si>
    <r>
      <t xml:space="preserve">Khách hàng/ </t>
    </r>
    <r>
      <rPr>
        <i/>
        <sz val="13"/>
        <rFont val="Times New Roman"/>
        <family val="1"/>
      </rPr>
      <t>Supplier:</t>
    </r>
  </si>
  <si>
    <r>
      <t xml:space="preserve">Địa chỉ/ </t>
    </r>
    <r>
      <rPr>
        <i/>
        <sz val="13"/>
        <rFont val="Times New Roman"/>
        <family val="1"/>
      </rPr>
      <t>Address:</t>
    </r>
  </si>
  <si>
    <r>
      <t xml:space="preserve">STT
</t>
    </r>
    <r>
      <rPr>
        <b/>
        <i/>
        <sz val="11"/>
        <rFont val="Times New Roman"/>
        <family val="1"/>
      </rPr>
      <t>No.</t>
    </r>
  </si>
  <si>
    <r>
      <t xml:space="preserve">TÊN  HÀNG
</t>
    </r>
    <r>
      <rPr>
        <b/>
        <i/>
        <sz val="11"/>
        <rFont val="Times New Roman"/>
        <family val="1"/>
      </rPr>
      <t>Name of goods</t>
    </r>
  </si>
  <si>
    <r>
      <t xml:space="preserve">QUY CÁCH
</t>
    </r>
    <r>
      <rPr>
        <b/>
        <i/>
        <sz val="11"/>
        <rFont val="Times New Roman"/>
        <family val="1"/>
      </rPr>
      <t xml:space="preserve"> Packing</t>
    </r>
  </si>
  <si>
    <r>
      <t xml:space="preserve">ĐVT </t>
    </r>
    <r>
      <rPr>
        <b/>
        <i/>
        <sz val="11"/>
        <rFont val="Times New Roman"/>
        <family val="1"/>
      </rPr>
      <t>Unit</t>
    </r>
  </si>
  <si>
    <r>
      <t xml:space="preserve">SỐ LƯỢNG </t>
    </r>
    <r>
      <rPr>
        <b/>
        <i/>
        <sz val="11"/>
        <rFont val="Times New Roman"/>
        <family val="1"/>
      </rPr>
      <t>Quantity</t>
    </r>
  </si>
  <si>
    <r>
      <t xml:space="preserve">NSX/ HSD </t>
    </r>
    <r>
      <rPr>
        <b/>
        <i/>
        <sz val="11"/>
        <rFont val="Times New Roman"/>
        <family val="1"/>
      </rPr>
      <t xml:space="preserve">Production date/expiry date </t>
    </r>
  </si>
  <si>
    <r>
      <t xml:space="preserve">NHÀ SẢN XUẤT </t>
    </r>
    <r>
      <rPr>
        <b/>
        <i/>
        <sz val="11"/>
        <rFont val="Times New Roman"/>
        <family val="1"/>
      </rPr>
      <t>Product</t>
    </r>
  </si>
  <si>
    <r>
      <t xml:space="preserve">GHI CHÚ
</t>
    </r>
    <r>
      <rPr>
        <b/>
        <i/>
        <sz val="11"/>
        <rFont val="Times New Roman"/>
        <family val="1"/>
      </rPr>
      <t>Note</t>
    </r>
  </si>
  <si>
    <t>Địa điểm phương tiện vận chuyển đã đến 48h trước/The location of the transport arrived 48 hours ago arrived 48 hours ago:  …………………………………………………………………………………………………….</t>
  </si>
  <si>
    <r>
      <t xml:space="preserve">Tình trạng bao bì lúc giao nhận/ </t>
    </r>
    <r>
      <rPr>
        <i/>
        <sz val="13"/>
        <color indexed="8"/>
        <rFont val="Times New Roman"/>
        <family val="1"/>
      </rPr>
      <t>Packing condition at merchandise exchange</t>
    </r>
    <r>
      <rPr>
        <sz val="13"/>
        <color indexed="8"/>
        <rFont val="Times New Roman"/>
        <family val="1"/>
      </rPr>
      <t xml:space="preserve">: </t>
    </r>
  </si>
  <si>
    <r>
      <t>Nguyên vẹn/</t>
    </r>
    <r>
      <rPr>
        <i/>
        <sz val="13"/>
        <rFont val="Times New Roman"/>
        <family val="1"/>
      </rPr>
      <t>Integrity</t>
    </r>
    <r>
      <rPr>
        <sz val="13"/>
        <rFont val="Times New Roman"/>
        <family val="1"/>
      </rPr>
      <t>:                           Có/</t>
    </r>
    <r>
      <rPr>
        <i/>
        <sz val="13"/>
        <rFont val="Times New Roman"/>
        <family val="1"/>
      </rPr>
      <t>Yes</t>
    </r>
    <r>
      <rPr>
        <sz val="13"/>
        <rFont val="Times New Roman"/>
        <family val="1"/>
      </rPr>
      <t xml:space="preserve">               Không/</t>
    </r>
    <r>
      <rPr>
        <i/>
        <sz val="13"/>
        <rFont val="Times New Roman"/>
        <family val="1"/>
      </rPr>
      <t>No</t>
    </r>
  </si>
  <si>
    <r>
      <t xml:space="preserve">Khô ráo/ </t>
    </r>
    <r>
      <rPr>
        <i/>
        <sz val="13"/>
        <rFont val="Times New Roman"/>
        <family val="1"/>
      </rPr>
      <t xml:space="preserve">Dry: </t>
    </r>
    <r>
      <rPr>
        <sz val="13"/>
        <rFont val="Times New Roman"/>
        <family val="1"/>
      </rPr>
      <t xml:space="preserve">                                      Có/</t>
    </r>
    <r>
      <rPr>
        <i/>
        <sz val="13"/>
        <rFont val="Times New Roman"/>
        <family val="1"/>
      </rPr>
      <t xml:space="preserve">Yes  </t>
    </r>
    <r>
      <rPr>
        <sz val="13"/>
        <rFont val="Times New Roman"/>
        <family val="1"/>
      </rPr>
      <t xml:space="preserve">             Không/</t>
    </r>
    <r>
      <rPr>
        <i/>
        <sz val="13"/>
        <rFont val="Times New Roman"/>
        <family val="1"/>
      </rPr>
      <t>No</t>
    </r>
  </si>
  <si>
    <r>
      <t>Sạch sẽ/</t>
    </r>
    <r>
      <rPr>
        <i/>
        <sz val="13"/>
        <rFont val="Times New Roman"/>
        <family val="1"/>
      </rPr>
      <t>Clean</t>
    </r>
    <r>
      <rPr>
        <sz val="13"/>
        <rFont val="Times New Roman"/>
        <family val="1"/>
      </rPr>
      <t>:                                       Có/</t>
    </r>
    <r>
      <rPr>
        <i/>
        <sz val="13"/>
        <rFont val="Times New Roman"/>
        <family val="1"/>
      </rPr>
      <t>Yes</t>
    </r>
    <r>
      <rPr>
        <sz val="13"/>
        <rFont val="Times New Roman"/>
        <family val="1"/>
      </rPr>
      <t xml:space="preserve">               Không/</t>
    </r>
    <r>
      <rPr>
        <i/>
        <sz val="13"/>
        <rFont val="Times New Roman"/>
        <family val="1"/>
      </rPr>
      <t>No</t>
    </r>
  </si>
  <si>
    <r>
      <t>Ngày/</t>
    </r>
    <r>
      <rPr>
        <i/>
        <sz val="13"/>
        <rFont val="Times New Roman"/>
        <family val="1"/>
      </rPr>
      <t xml:space="preserve">Date: </t>
    </r>
  </si>
  <si>
    <r>
      <t>Người lập bảng/</t>
    </r>
    <r>
      <rPr>
        <i/>
        <sz val="13"/>
        <rFont val="Times New Roman"/>
        <family val="1"/>
      </rPr>
      <t>Created by</t>
    </r>
  </si>
  <si>
    <r>
      <t>Người nhận/</t>
    </r>
    <r>
      <rPr>
        <i/>
        <sz val="13"/>
        <rFont val="Times New Roman"/>
        <family val="1"/>
      </rPr>
      <t>Receiver</t>
    </r>
  </si>
  <si>
    <r>
      <t>Kho/</t>
    </r>
    <r>
      <rPr>
        <i/>
        <sz val="11"/>
        <rFont val="Times New Roman"/>
        <family val="1"/>
      </rPr>
      <t>Storage</t>
    </r>
    <r>
      <rPr>
        <sz val="11"/>
        <rFont val="Times New Roman"/>
        <family val="1"/>
      </rPr>
      <t xml:space="preserve">:                       </t>
    </r>
  </si>
  <si>
    <r>
      <t>Đạm/</t>
    </r>
    <r>
      <rPr>
        <i/>
        <sz val="11"/>
        <rFont val="Times New Roman"/>
        <family val="1"/>
      </rPr>
      <t>Protein</t>
    </r>
    <r>
      <rPr>
        <sz val="11"/>
        <rFont val="Times New Roman"/>
        <family val="1"/>
      </rPr>
      <t xml:space="preserve">  - ly/</t>
    </r>
    <r>
      <rPr>
        <i/>
        <sz val="11"/>
        <rFont val="Times New Roman"/>
        <family val="1"/>
      </rPr>
      <t>size</t>
    </r>
    <r>
      <rPr>
        <sz val="11"/>
        <rFont val="Times New Roman"/>
        <family val="1"/>
      </rPr>
      <t>:</t>
    </r>
  </si>
  <si>
    <r>
      <t xml:space="preserve">Tên thức ăn/ </t>
    </r>
    <r>
      <rPr>
        <i/>
        <sz val="11"/>
        <rFont val="Times New Roman"/>
        <family val="1"/>
      </rPr>
      <t>Feed name</t>
    </r>
    <r>
      <rPr>
        <sz val="11"/>
        <rFont val="Times New Roman"/>
        <family val="1"/>
      </rPr>
      <t>:</t>
    </r>
  </si>
  <si>
    <r>
      <t>Đơn vị tính/</t>
    </r>
    <r>
      <rPr>
        <i/>
        <sz val="11"/>
        <rFont val="Times New Roman"/>
        <family val="1"/>
      </rPr>
      <t>Unit</t>
    </r>
    <r>
      <rPr>
        <sz val="11"/>
        <rFont val="Times New Roman"/>
        <family val="1"/>
      </rPr>
      <t>: Kg</t>
    </r>
  </si>
  <si>
    <r>
      <t xml:space="preserve">SỔ THEO DÕI THỨC ĂN
</t>
    </r>
    <r>
      <rPr>
        <b/>
        <i/>
        <sz val="16"/>
        <rFont val="Times New Roman"/>
        <family val="1"/>
      </rPr>
      <t>The tracking book of the feed</t>
    </r>
  </si>
  <si>
    <r>
      <t xml:space="preserve">Mã số/ </t>
    </r>
    <r>
      <rPr>
        <i/>
        <sz val="10"/>
        <color indexed="8"/>
        <rFont val="Times New Roman"/>
        <family val="1"/>
      </rPr>
      <t>Code:</t>
    </r>
    <r>
      <rPr>
        <sz val="10"/>
        <color indexed="8"/>
        <rFont val="Times New Roman"/>
        <family val="1"/>
      </rPr>
      <t xml:space="preserve"> </t>
    </r>
    <r>
      <rPr>
        <b/>
        <sz val="10"/>
        <color indexed="8"/>
        <rFont val="Times New Roman"/>
        <family val="1"/>
      </rPr>
      <t>P301-F07</t>
    </r>
  </si>
  <si>
    <r>
      <t xml:space="preserve">Vùng nuôi/ </t>
    </r>
    <r>
      <rPr>
        <i/>
        <sz val="13"/>
        <rFont val="Times New Roman"/>
        <family val="1"/>
      </rPr>
      <t>Farm</t>
    </r>
    <r>
      <rPr>
        <sz val="13"/>
        <rFont val="Times New Roman"/>
        <family val="1"/>
      </rPr>
      <t>:</t>
    </r>
  </si>
  <si>
    <r>
      <t xml:space="preserve">LƯỢNG NHẬP
</t>
    </r>
    <r>
      <rPr>
        <b/>
        <i/>
        <sz val="9"/>
        <rFont val="Times New Roman"/>
        <family val="1"/>
      </rPr>
      <t>Input quantity</t>
    </r>
  </si>
  <si>
    <r>
      <t xml:space="preserve">MSL
NHẬP
 </t>
    </r>
    <r>
      <rPr>
        <b/>
        <i/>
        <sz val="9"/>
        <rFont val="Times New Roman"/>
        <family val="1"/>
      </rPr>
      <t>Input batch code</t>
    </r>
  </si>
  <si>
    <r>
      <t xml:space="preserve">HẠN SỬ DỤNG
NHẬP
</t>
    </r>
    <r>
      <rPr>
        <b/>
        <i/>
        <sz val="9"/>
        <rFont val="Times New Roman"/>
        <family val="1"/>
      </rPr>
      <t xml:space="preserve">Input Expiry date </t>
    </r>
  </si>
  <si>
    <r>
      <t>MÃ SỐ LÔ
CHO ĂN</t>
    </r>
    <r>
      <rPr>
        <b/>
        <i/>
        <sz val="9"/>
        <rFont val="Times New Roman"/>
        <family val="1"/>
      </rPr>
      <t xml:space="preserve"> 
Feed batch code</t>
    </r>
  </si>
  <si>
    <r>
      <t xml:space="preserve">HẠN SỬ DỤNG
CHO ĂN
</t>
    </r>
    <r>
      <rPr>
        <b/>
        <i/>
        <sz val="9"/>
        <rFont val="Times New Roman"/>
        <family val="1"/>
      </rPr>
      <t>Feed</t>
    </r>
    <r>
      <rPr>
        <b/>
        <sz val="9"/>
        <rFont val="Times New Roman"/>
        <family val="1"/>
      </rPr>
      <t xml:space="preserve"> </t>
    </r>
    <r>
      <rPr>
        <b/>
        <i/>
        <sz val="9"/>
        <rFont val="Times New Roman"/>
        <family val="1"/>
      </rPr>
      <t xml:space="preserve">expiry date </t>
    </r>
  </si>
  <si>
    <r>
      <t xml:space="preserve">XUẤT
</t>
    </r>
    <r>
      <rPr>
        <b/>
        <i/>
        <sz val="9"/>
        <rFont val="Times New Roman"/>
        <family val="1"/>
      </rPr>
      <t>OUTPUT</t>
    </r>
  </si>
  <si>
    <r>
      <t xml:space="preserve">TỒN CUỐI </t>
    </r>
    <r>
      <rPr>
        <b/>
        <i/>
        <sz val="9"/>
        <rFont val="Times New Roman"/>
        <family val="1"/>
      </rPr>
      <t>Invetory</t>
    </r>
  </si>
  <si>
    <r>
      <t xml:space="preserve">TÌNH TRẠNG THỨC ĂN
</t>
    </r>
    <r>
      <rPr>
        <b/>
        <i/>
        <sz val="9"/>
        <rFont val="Times New Roman"/>
        <family val="1"/>
      </rPr>
      <t>Feed condition</t>
    </r>
  </si>
  <si>
    <r>
      <t xml:space="preserve">GHI CHÚ
</t>
    </r>
    <r>
      <rPr>
        <b/>
        <i/>
        <sz val="9"/>
        <rFont val="Times New Roman"/>
        <family val="1"/>
      </rPr>
      <t>Note</t>
    </r>
    <r>
      <rPr>
        <b/>
        <sz val="9"/>
        <rFont val="Times New Roman"/>
        <family val="1"/>
      </rPr>
      <t xml:space="preserve">
</t>
    </r>
  </si>
  <si>
    <r>
      <t xml:space="preserve">Đạt
 </t>
    </r>
    <r>
      <rPr>
        <b/>
        <i/>
        <sz val="9"/>
        <rFont val="Times New Roman"/>
        <family val="1"/>
      </rPr>
      <t>Ok</t>
    </r>
  </si>
  <si>
    <r>
      <t xml:space="preserve">Không đạt 
</t>
    </r>
    <r>
      <rPr>
        <b/>
        <i/>
        <sz val="9"/>
        <rFont val="Times New Roman"/>
        <family val="1"/>
      </rPr>
      <t>Not ok</t>
    </r>
  </si>
  <si>
    <r>
      <t xml:space="preserve">Chú thích/ </t>
    </r>
    <r>
      <rPr>
        <i/>
        <sz val="11"/>
        <rFont val="Times New Roman"/>
        <family val="1"/>
      </rPr>
      <t>Note</t>
    </r>
    <r>
      <rPr>
        <sz val="11"/>
        <rFont val="Times New Roman"/>
        <family val="1"/>
      </rPr>
      <t>:</t>
    </r>
  </si>
  <si>
    <r>
      <t xml:space="preserve">Tình trạng thức ăn đạt khi/ </t>
    </r>
    <r>
      <rPr>
        <i/>
        <sz val="11"/>
        <rFont val="Times New Roman"/>
        <family val="1"/>
      </rPr>
      <t>Feed meet requirements when</t>
    </r>
    <r>
      <rPr>
        <sz val="11"/>
        <rFont val="Times New Roman"/>
        <family val="1"/>
      </rPr>
      <t xml:space="preserve">: thức ăn khô ráo, không nấm mốc/ </t>
    </r>
    <r>
      <rPr>
        <i/>
        <sz val="11"/>
        <rFont val="Times New Roman"/>
        <family val="1"/>
      </rPr>
      <t>Feed of dry and no mould</t>
    </r>
  </si>
  <si>
    <r>
      <t xml:space="preserve">Tên sản phẩm/ </t>
    </r>
    <r>
      <rPr>
        <i/>
        <sz val="12"/>
        <rFont val="Times New Roman"/>
        <family val="1"/>
      </rPr>
      <t>Product name</t>
    </r>
    <r>
      <rPr>
        <sz val="12"/>
        <rFont val="Times New Roman"/>
        <family val="1"/>
      </rPr>
      <t xml:space="preserve">: </t>
    </r>
  </si>
  <si>
    <r>
      <t xml:space="preserve">Quy cách/ </t>
    </r>
    <r>
      <rPr>
        <i/>
        <sz val="12"/>
        <rFont val="Times New Roman"/>
        <family val="1"/>
      </rPr>
      <t>Packing</t>
    </r>
    <r>
      <rPr>
        <sz val="12"/>
        <rFont val="Times New Roman"/>
        <family val="1"/>
      </rPr>
      <t xml:space="preserve">: </t>
    </r>
  </si>
  <si>
    <r>
      <t>Công ty sản xuất/</t>
    </r>
    <r>
      <rPr>
        <i/>
        <sz val="12"/>
        <rFont val="Times New Roman"/>
        <family val="1"/>
      </rPr>
      <t>Production company</t>
    </r>
    <r>
      <rPr>
        <sz val="12"/>
        <rFont val="Times New Roman"/>
        <family val="1"/>
      </rPr>
      <t xml:space="preserve">: </t>
    </r>
  </si>
  <si>
    <t>QUY CÁCH</t>
  </si>
  <si>
    <t>1 lít/chai</t>
  </si>
  <si>
    <t>1 kg/gói</t>
  </si>
  <si>
    <t>5 lít/can</t>
  </si>
  <si>
    <t>bộ</t>
  </si>
  <si>
    <t>20 lít/can</t>
  </si>
  <si>
    <t>30 lít/can</t>
  </si>
  <si>
    <t>25 kg/bao</t>
  </si>
  <si>
    <t>3 lít/chai</t>
  </si>
  <si>
    <t>AMORVET - ẤN ĐỘ</t>
  </si>
  <si>
    <t>10 lít/can</t>
  </si>
  <si>
    <t>500 gr/gói</t>
  </si>
  <si>
    <t>10 kg/gói</t>
  </si>
  <si>
    <t>DANH SÁCH GHE VẬN CHUYỂN THỨC ĂN</t>
  </si>
  <si>
    <t>6. ghi "Thu hoạch" cho tất cả các ngày =&gt; khi thu hoạch 1 lần hết ao</t>
  </si>
  <si>
    <t>Cộng từ đầu vụ nuôi</t>
  </si>
  <si>
    <t>ĐƯỜNG CHUẨN TĂNG TRƯỞNG</t>
  </si>
  <si>
    <t>Cho chọn trại giống từ file nguồn "thong ke thong tin farms"</t>
  </si>
  <si>
    <t>Tự lấy thông tin theo tên trại giông "thong ke thong tin farms"</t>
  </si>
  <si>
    <t>từ file nguồn "thong ke thong tin farms"</t>
  </si>
  <si>
    <t>Tổng hợp lượng thức ăn của các ao/ngày về sổ kho (ao tương ứng với kho theo file nguồn "thong ke thong tin farms") phân biệt theo kích cỡ từng loại thức ăn biểu mẫu P301-F07 - Sổ theo dõi thức ăn =&gt; sẽ nhập tay thông tin: ngày nhập, lượng, MSL, quy cách. Hạn sử dụng của thức ăn được mã từ MSL ký tự 2 - 4 tính từ bên phải theo ngày Julian + 89 ngày. Có cảnh báo khi phát hiện ngày nhập trước ngày sản xuất hoặc hết HSD</t>
  </si>
  <si>
    <t>Lấy thông tin lượng nước thay các mức ở file nguồn "thong ke thong tin farms"</t>
  </si>
  <si>
    <t>Tạo nút chọn từ file nguồn "thong ke thong tin farms" từ sheet "thong tin QL"</t>
  </si>
  <si>
    <t>theo file nguồn "thong ke thong tin farms"</t>
  </si>
  <si>
    <t>Mặc định "Có"</t>
  </si>
  <si>
    <t>Hóa chất tổng hợp thông tin từ BM P303 - F04: ngày, tên hàng, lượng, quy cách, MSL/HSD nhà sản xuất vào BM P303-F03. Cho chọn nhập tên người nhận. Người giao cố định "Lê Thị Hồng Ngọc" và 48h trước "Thành phố Cao Lãnh - Đồng Tháp"</t>
  </si>
  <si>
    <t>Thức ăn tổng hợp thông tin từ BM P301 - F07: ngày, loại, lượng, quy cách, MSL, kho vào BM P301-F06. Cho chọn thông tin ghe vận chuyển, người vận chuyển từ sheet "Ds ghe vận chuyển thức ăn". Cho trường nhập tên người nhận. Cố định 48h trước: "Huyện Cao Lãnh - Đồng Tháp"</t>
  </si>
  <si>
    <t>Hóa chất dạng lỏng khi nhập kho có cảnh báo khi tổng lượng tổng kho vượt 90% sức chứa của kho.</t>
  </si>
  <si>
    <t>Có thể cho thay đổi giới hạn nước cấp và xả thải của vùng do vùng nuôi sẽ thay đổi khi có giấy phép</t>
  </si>
  <si>
    <t>Đối với cấp thoát nước có thể chọn nhịp trao đổi nước của vùng khi bắt đầu chạy phần mềm.</t>
  </si>
  <si>
    <r>
      <t>Cảnh báo khi mật độ nuôi 37kg/m</t>
    </r>
    <r>
      <rPr>
        <vertAlign val="superscript"/>
        <sz val="13"/>
        <color theme="1"/>
        <rFont val="Times New Roman"/>
        <family val="1"/>
      </rPr>
      <t>2</t>
    </r>
  </si>
  <si>
    <t>Biểu mẫu</t>
  </si>
  <si>
    <t>Nhật ký nuôi</t>
  </si>
  <si>
    <t>Sổ giao nhận chất thải</t>
  </si>
  <si>
    <t>Phiếu sức khỏe cá nuôi</t>
  </si>
  <si>
    <t>Phiếu chỉ định sản phẩm</t>
  </si>
  <si>
    <t>Sổ kho thức ăn</t>
  </si>
  <si>
    <t>Sổ kho hóa chất</t>
  </si>
  <si>
    <t>Biên bản giao nhận thức ăn</t>
  </si>
  <si>
    <t>Biên bản giao nhận hóa chất</t>
  </si>
  <si>
    <r>
      <t xml:space="preserve">KIỂM TRA LƯỢNG NƯỚC CẤP - NƯỚC THOÁT TRONG AO NUÔI
</t>
    </r>
    <r>
      <rPr>
        <b/>
        <i/>
        <sz val="16"/>
        <rFont val="Times New Roman"/>
        <family val="1"/>
      </rPr>
      <t>Checking the quantity of intake water - drainage water in pond</t>
    </r>
  </si>
  <si>
    <r>
      <t xml:space="preserve">Mã số/ </t>
    </r>
    <r>
      <rPr>
        <i/>
        <sz val="10"/>
        <color indexed="10"/>
        <rFont val="Times New Roman"/>
        <family val="1"/>
      </rPr>
      <t>Code:</t>
    </r>
    <r>
      <rPr>
        <sz val="10"/>
        <color indexed="10"/>
        <rFont val="Times New Roman"/>
        <family val="1"/>
      </rPr>
      <t xml:space="preserve"> </t>
    </r>
    <r>
      <rPr>
        <b/>
        <sz val="10"/>
        <color indexed="10"/>
        <rFont val="Times New Roman"/>
        <family val="1"/>
      </rPr>
      <t>P304-F04</t>
    </r>
  </si>
  <si>
    <r>
      <t>Vùng nuôi/</t>
    </r>
    <r>
      <rPr>
        <i/>
        <sz val="13"/>
        <rFont val="Times New Roman"/>
        <family val="1"/>
      </rPr>
      <t xml:space="preserve"> Farm:</t>
    </r>
  </si>
  <si>
    <r>
      <t xml:space="preserve">Ngày
</t>
    </r>
    <r>
      <rPr>
        <b/>
        <i/>
        <sz val="10"/>
        <rFont val="Times New Roman"/>
        <family val="1"/>
      </rPr>
      <t>Date</t>
    </r>
  </si>
  <si>
    <r>
      <t xml:space="preserve">Ao
</t>
    </r>
    <r>
      <rPr>
        <b/>
        <i/>
        <sz val="10"/>
        <rFont val="Times New Roman"/>
        <family val="1"/>
      </rPr>
      <t>Pond</t>
    </r>
    <r>
      <rPr>
        <b/>
        <sz val="10"/>
        <rFont val="Times New Roman"/>
        <family val="1"/>
      </rPr>
      <t xml:space="preserve"> 
…</t>
    </r>
  </si>
  <si>
    <r>
      <t xml:space="preserve">Tổng lượng nước cấp
</t>
    </r>
    <r>
      <rPr>
        <b/>
        <i/>
        <sz val="10"/>
        <rFont val="Times New Roman"/>
        <family val="1"/>
      </rPr>
      <t>Total intake water volume</t>
    </r>
  </si>
  <si>
    <r>
      <t xml:space="preserve">Tổng lượng nước thoát
</t>
    </r>
    <r>
      <rPr>
        <b/>
        <i/>
        <sz val="10"/>
        <rFont val="Times New Roman"/>
        <family val="1"/>
      </rPr>
      <t>Total  drainage water volume</t>
    </r>
  </si>
  <si>
    <r>
      <t xml:space="preserve">Người thực hiện
</t>
    </r>
    <r>
      <rPr>
        <b/>
        <i/>
        <sz val="10"/>
        <rFont val="Times New Roman"/>
        <family val="1"/>
      </rPr>
      <t>Performer</t>
    </r>
  </si>
  <si>
    <r>
      <t>C</t>
    </r>
    <r>
      <rPr>
        <b/>
        <sz val="10"/>
        <rFont val="Times New Roman"/>
        <family val="1"/>
      </rPr>
      <t xml:space="preserve">ấp
</t>
    </r>
    <r>
      <rPr>
        <b/>
        <i/>
        <sz val="10"/>
        <rFont val="Times New Roman"/>
        <family val="1"/>
      </rPr>
      <t>Intake</t>
    </r>
  </si>
  <si>
    <r>
      <t xml:space="preserve">Thoát
</t>
    </r>
    <r>
      <rPr>
        <b/>
        <i/>
        <sz val="10"/>
        <rFont val="Times New Roman"/>
        <family val="1"/>
      </rPr>
      <t>Drainage</t>
    </r>
  </si>
  <si>
    <r>
      <t xml:space="preserve">Ngày/ </t>
    </r>
    <r>
      <rPr>
        <b/>
        <i/>
        <sz val="12"/>
        <rFont val="Times New Roman"/>
        <family val="1"/>
      </rPr>
      <t>Date:</t>
    </r>
  </si>
  <si>
    <r>
      <t xml:space="preserve">Người thẩm tra/ </t>
    </r>
    <r>
      <rPr>
        <b/>
        <i/>
        <sz val="12"/>
        <rFont val="Times New Roman"/>
        <family val="1"/>
      </rPr>
      <t>Inspector</t>
    </r>
  </si>
  <si>
    <r>
      <t xml:space="preserve">KẾT QUẢ THEO DÕI NƯỚC THẢI
</t>
    </r>
    <r>
      <rPr>
        <b/>
        <i/>
        <sz val="16"/>
        <rFont val="Times New Roman"/>
        <family val="1"/>
      </rPr>
      <t>Waste water monitoring result</t>
    </r>
  </si>
  <si>
    <r>
      <t xml:space="preserve">Mã số/ </t>
    </r>
    <r>
      <rPr>
        <i/>
        <sz val="10"/>
        <color indexed="8"/>
        <rFont val="Times New Roman"/>
        <family val="1"/>
      </rPr>
      <t>Code:</t>
    </r>
    <r>
      <rPr>
        <sz val="10"/>
        <color indexed="8"/>
        <rFont val="Times New Roman"/>
        <family val="1"/>
      </rPr>
      <t xml:space="preserve"> </t>
    </r>
    <r>
      <rPr>
        <b/>
        <sz val="10"/>
        <color indexed="8"/>
        <rFont val="Times New Roman"/>
        <family val="1"/>
      </rPr>
      <t>P304-F07</t>
    </r>
  </si>
  <si>
    <r>
      <t>Vùng nuôi/</t>
    </r>
    <r>
      <rPr>
        <i/>
        <sz val="12"/>
        <rFont val="Times New Roman"/>
        <family val="1"/>
      </rPr>
      <t>Farm:</t>
    </r>
  </si>
  <si>
    <r>
      <t xml:space="preserve">Thời gian thoát
</t>
    </r>
    <r>
      <rPr>
        <i/>
        <sz val="12"/>
        <rFont val="Times New Roman"/>
        <family val="1"/>
      </rPr>
      <t>Time of discharge</t>
    </r>
  </si>
  <si>
    <r>
      <t xml:space="preserve">Lượng nước thoát
</t>
    </r>
    <r>
      <rPr>
        <i/>
        <sz val="12"/>
        <rFont val="Times New Roman"/>
        <family val="1"/>
      </rPr>
      <t>Waste-water volume</t>
    </r>
    <r>
      <rPr>
        <sz val="12"/>
        <rFont val="Times New Roman"/>
        <family val="1"/>
      </rPr>
      <t xml:space="preserve"> (m</t>
    </r>
    <r>
      <rPr>
        <vertAlign val="superscript"/>
        <sz val="12"/>
        <rFont val="Times New Roman"/>
        <family val="1"/>
      </rPr>
      <t>3</t>
    </r>
    <r>
      <rPr>
        <sz val="12"/>
        <rFont val="Times New Roman"/>
        <family val="1"/>
      </rPr>
      <t>)</t>
    </r>
  </si>
  <si>
    <r>
      <t xml:space="preserve">Thời gian cấp
</t>
    </r>
    <r>
      <rPr>
        <i/>
        <sz val="12"/>
        <rFont val="Times New Roman"/>
        <family val="1"/>
      </rPr>
      <t>Intake time</t>
    </r>
  </si>
  <si>
    <r>
      <t xml:space="preserve">Lượng nước cấp
</t>
    </r>
    <r>
      <rPr>
        <i/>
        <sz val="12"/>
        <rFont val="Times New Roman"/>
        <family val="1"/>
      </rPr>
      <t>Amount of intake water</t>
    </r>
    <r>
      <rPr>
        <sz val="12"/>
        <rFont val="Times New Roman"/>
        <family val="1"/>
        <charset val="163"/>
      </rPr>
      <t xml:space="preserve"> (m</t>
    </r>
    <r>
      <rPr>
        <vertAlign val="superscript"/>
        <sz val="12"/>
        <rFont val="Times New Roman"/>
        <family val="1"/>
        <charset val="163"/>
      </rPr>
      <t>3</t>
    </r>
    <r>
      <rPr>
        <sz val="12"/>
        <rFont val="Times New Roman"/>
        <family val="1"/>
        <charset val="163"/>
      </rPr>
      <t>)</t>
    </r>
  </si>
  <si>
    <r>
      <t xml:space="preserve">Chỉ tiêu nước thoát
</t>
    </r>
    <r>
      <rPr>
        <i/>
        <sz val="12"/>
        <rFont val="Times New Roman"/>
        <family val="1"/>
      </rPr>
      <t>Wastewater criteria</t>
    </r>
  </si>
  <si>
    <r>
      <t xml:space="preserve">Người thực hiện
 </t>
    </r>
    <r>
      <rPr>
        <i/>
        <sz val="12"/>
        <rFont val="Times New Roman"/>
        <family val="1"/>
      </rPr>
      <t>Performer</t>
    </r>
  </si>
  <si>
    <r>
      <t xml:space="preserve">Kết luận
</t>
    </r>
    <r>
      <rPr>
        <i/>
        <sz val="12"/>
        <rFont val="Times New Roman"/>
        <family val="1"/>
      </rPr>
      <t>Conclusion</t>
    </r>
  </si>
  <si>
    <t>DO (mg/l)</t>
  </si>
  <si>
    <r>
      <t xml:space="preserve">Mùi, cảm quan
</t>
    </r>
    <r>
      <rPr>
        <i/>
        <sz val="12"/>
        <rFont val="Times New Roman"/>
        <family val="1"/>
      </rPr>
      <t>Smell, sensory</t>
    </r>
  </si>
  <si>
    <r>
      <t xml:space="preserve">Trước khi thoát </t>
    </r>
    <r>
      <rPr>
        <i/>
        <sz val="12"/>
        <rFont val="Times New Roman"/>
        <family val="1"/>
      </rPr>
      <t>Before discharge</t>
    </r>
  </si>
  <si>
    <r>
      <t xml:space="preserve">Đang thoát </t>
    </r>
    <r>
      <rPr>
        <i/>
        <sz val="12"/>
        <rFont val="Times New Roman"/>
        <family val="1"/>
      </rPr>
      <t>During drainage</t>
    </r>
  </si>
  <si>
    <r>
      <t xml:space="preserve">Đạt/ K. Đạt
</t>
    </r>
    <r>
      <rPr>
        <i/>
        <sz val="12"/>
        <rFont val="Times New Roman"/>
        <family val="1"/>
      </rPr>
      <t>Ok/ Not ok</t>
    </r>
  </si>
  <si>
    <t>Kiểm tra lượng nước cấp - thoát ao nuôi</t>
  </si>
  <si>
    <t>Kiểm tra lượng nước cấp - thoát ao nuôi
Kết quả theo dõi nước thải</t>
  </si>
  <si>
    <r>
      <t xml:space="preserve">Mã số/ </t>
    </r>
    <r>
      <rPr>
        <i/>
        <sz val="10"/>
        <color indexed="8"/>
        <rFont val="Times New Roman"/>
        <family val="1"/>
      </rPr>
      <t>Code:</t>
    </r>
    <r>
      <rPr>
        <sz val="10"/>
        <color indexed="8"/>
        <rFont val="Times New Roman"/>
        <family val="1"/>
      </rPr>
      <t xml:space="preserve"> </t>
    </r>
    <r>
      <rPr>
        <b/>
        <sz val="10"/>
        <color indexed="8"/>
        <rFont val="Times New Roman"/>
        <family val="1"/>
      </rPr>
      <t>P301-F01</t>
    </r>
  </si>
  <si>
    <r>
      <t xml:space="preserve">I/THÔNG TIN VỀ AO NUÔI/ </t>
    </r>
    <r>
      <rPr>
        <b/>
        <i/>
        <sz val="14"/>
        <rFont val="Times New Roman"/>
        <family val="1"/>
      </rPr>
      <t>Pond information</t>
    </r>
  </si>
  <si>
    <r>
      <t xml:space="preserve">1. Địa chỉ/ </t>
    </r>
    <r>
      <rPr>
        <i/>
        <sz val="13"/>
        <rFont val="Times New Roman"/>
        <family val="1"/>
      </rPr>
      <t>Address</t>
    </r>
    <r>
      <rPr>
        <sz val="13"/>
        <rFont val="Times New Roman"/>
        <family val="1"/>
      </rPr>
      <t>:</t>
    </r>
  </si>
  <si>
    <r>
      <t>2. Điện thoại/</t>
    </r>
    <r>
      <rPr>
        <i/>
        <sz val="13"/>
        <rFont val="Times New Roman"/>
        <family val="1"/>
      </rPr>
      <t>Tel</t>
    </r>
    <r>
      <rPr>
        <sz val="13"/>
        <rFont val="Times New Roman"/>
        <family val="1"/>
      </rPr>
      <t xml:space="preserve">: </t>
    </r>
  </si>
  <si>
    <r>
      <t>3. Người quản lý/</t>
    </r>
    <r>
      <rPr>
        <i/>
        <sz val="13"/>
        <rFont val="Times New Roman"/>
        <family val="1"/>
      </rPr>
      <t>Farm manager</t>
    </r>
    <r>
      <rPr>
        <sz val="13"/>
        <rFont val="Times New Roman"/>
        <family val="1"/>
      </rPr>
      <t xml:space="preserve">: </t>
    </r>
  </si>
  <si>
    <r>
      <t xml:space="preserve">4. Diện tích ao/ </t>
    </r>
    <r>
      <rPr>
        <i/>
        <sz val="13"/>
        <rFont val="Times New Roman"/>
        <family val="1"/>
      </rPr>
      <t>Surface area</t>
    </r>
    <r>
      <rPr>
        <sz val="13"/>
        <rFont val="Times New Roman"/>
        <family val="1"/>
      </rPr>
      <t>:</t>
    </r>
  </si>
  <si>
    <r>
      <t>m</t>
    </r>
    <r>
      <rPr>
        <vertAlign val="superscript"/>
        <sz val="13"/>
        <rFont val="Times New Roman"/>
        <family val="1"/>
      </rPr>
      <t>2</t>
    </r>
  </si>
  <si>
    <r>
      <t>5. Diện tích mặt nước/</t>
    </r>
    <r>
      <rPr>
        <i/>
        <sz val="13"/>
        <rFont val="Times New Roman"/>
        <family val="1"/>
      </rPr>
      <t>Water surface</t>
    </r>
    <r>
      <rPr>
        <sz val="13"/>
        <rFont val="Times New Roman"/>
        <family val="1"/>
      </rPr>
      <t xml:space="preserve">: </t>
    </r>
  </si>
  <si>
    <r>
      <t>6. Độ sâu của ao/</t>
    </r>
    <r>
      <rPr>
        <i/>
        <sz val="13"/>
        <rFont val="Times New Roman"/>
        <family val="1"/>
      </rPr>
      <t>Pond depth</t>
    </r>
    <r>
      <rPr>
        <sz val="13"/>
        <rFont val="Times New Roman"/>
        <family val="1"/>
      </rPr>
      <t xml:space="preserve">: </t>
    </r>
  </si>
  <si>
    <t>m</t>
  </si>
  <si>
    <t>@</t>
  </si>
  <si>
    <r>
      <t xml:space="preserve">II/CHUẨN BỊ AO NUÔI  TRƯỚC KHI THẢ/ </t>
    </r>
    <r>
      <rPr>
        <b/>
        <i/>
        <sz val="14"/>
        <rFont val="Times New Roman"/>
        <family val="1"/>
      </rPr>
      <t>Pond preparation before stocking</t>
    </r>
  </si>
  <si>
    <r>
      <t xml:space="preserve">1. Ngày thu hoạch vụ trước/ </t>
    </r>
    <r>
      <rPr>
        <i/>
        <sz val="13"/>
        <rFont val="Times New Roman"/>
        <family val="1"/>
      </rPr>
      <t>The previous harvest date</t>
    </r>
    <r>
      <rPr>
        <sz val="13"/>
        <rFont val="Times New Roman"/>
        <family val="1"/>
      </rPr>
      <t xml:space="preserve">: </t>
    </r>
  </si>
  <si>
    <r>
      <t>Từ/</t>
    </r>
    <r>
      <rPr>
        <i/>
        <sz val="13"/>
        <rFont val="Times New Roman"/>
        <family val="1"/>
      </rPr>
      <t>From</t>
    </r>
  </si>
  <si>
    <r>
      <t>tới/</t>
    </r>
    <r>
      <rPr>
        <i/>
        <sz val="13"/>
        <rFont val="Times New Roman"/>
        <family val="1"/>
      </rPr>
      <t>to</t>
    </r>
  </si>
  <si>
    <r>
      <t xml:space="preserve">2. Ngày ao trống/ </t>
    </r>
    <r>
      <rPr>
        <i/>
        <sz val="13"/>
        <rFont val="Times New Roman"/>
        <family val="1"/>
      </rPr>
      <t>Fallow period between crops</t>
    </r>
    <r>
      <rPr>
        <sz val="13"/>
        <rFont val="Times New Roman"/>
        <family val="1"/>
      </rPr>
      <t xml:space="preserve">:  </t>
    </r>
  </si>
  <si>
    <r>
      <t>ngày/</t>
    </r>
    <r>
      <rPr>
        <i/>
        <sz val="13"/>
        <rFont val="Times New Roman"/>
        <family val="1"/>
      </rPr>
      <t>days</t>
    </r>
    <r>
      <rPr>
        <sz val="13"/>
        <rFont val="Times New Roman"/>
        <family val="1"/>
      </rPr>
      <t>.</t>
    </r>
  </si>
  <si>
    <r>
      <t xml:space="preserve">3. Ngày cải tạo ao/ </t>
    </r>
    <r>
      <rPr>
        <i/>
        <sz val="13"/>
        <rFont val="Times New Roman"/>
        <family val="1"/>
      </rPr>
      <t>Preparation date</t>
    </r>
    <r>
      <rPr>
        <sz val="13"/>
        <rFont val="Times New Roman"/>
        <family val="1"/>
      </rPr>
      <t>:</t>
    </r>
  </si>
  <si>
    <r>
      <t xml:space="preserve">4. Cách cải tạo ao/ </t>
    </r>
    <r>
      <rPr>
        <i/>
        <sz val="13"/>
        <rFont val="Times New Roman"/>
        <family val="1"/>
      </rPr>
      <t>Preparation method</t>
    </r>
    <r>
      <rPr>
        <sz val="13"/>
        <rFont val="Times New Roman"/>
        <family val="1"/>
      </rPr>
      <t xml:space="preserve">: </t>
    </r>
  </si>
  <si>
    <r>
      <t xml:space="preserve">     Vét bùn/ </t>
    </r>
    <r>
      <rPr>
        <i/>
        <sz val="13"/>
        <rFont val="Times New Roman"/>
        <family val="1"/>
      </rPr>
      <t>Sludge removal</t>
    </r>
    <r>
      <rPr>
        <sz val="13"/>
        <rFont val="Times New Roman"/>
        <family val="1"/>
      </rPr>
      <t xml:space="preserve">:      </t>
    </r>
  </si>
  <si>
    <r>
      <t xml:space="preserve">     Sửa chữa ao/ </t>
    </r>
    <r>
      <rPr>
        <i/>
        <sz val="13"/>
        <rFont val="Times New Roman"/>
        <family val="1"/>
      </rPr>
      <t>Pond repair</t>
    </r>
    <r>
      <rPr>
        <sz val="13"/>
        <rFont val="Times New Roman"/>
        <family val="1"/>
      </rPr>
      <t>:</t>
    </r>
  </si>
  <si>
    <r>
      <t xml:space="preserve">5. Kích cỡ mắt lưới cố định/ </t>
    </r>
    <r>
      <rPr>
        <i/>
        <sz val="13"/>
        <rFont val="Times New Roman"/>
        <family val="1"/>
      </rPr>
      <t>Fixed mesh size</t>
    </r>
    <r>
      <rPr>
        <sz val="13"/>
        <rFont val="Times New Roman"/>
        <family val="1"/>
      </rPr>
      <t xml:space="preserve">: </t>
    </r>
  </si>
  <si>
    <t>cm</t>
  </si>
  <si>
    <r>
      <t xml:space="preserve">    Kích cỡ mắt lưới bổ sung (nếu có)/ </t>
    </r>
    <r>
      <rPr>
        <i/>
        <sz val="13"/>
        <rFont val="Times New Roman"/>
        <family val="1"/>
      </rPr>
      <t>additional net size (if any)</t>
    </r>
    <r>
      <rPr>
        <sz val="13"/>
        <rFont val="Times New Roman"/>
        <family val="1"/>
      </rPr>
      <t>:</t>
    </r>
  </si>
  <si>
    <r>
      <t xml:space="preserve">6. Mực nước trước khi thả cá/ </t>
    </r>
    <r>
      <rPr>
        <i/>
        <sz val="13"/>
        <rFont val="Times New Roman"/>
        <family val="1"/>
      </rPr>
      <t>Water level before stocking</t>
    </r>
    <r>
      <rPr>
        <sz val="13"/>
        <rFont val="Times New Roman"/>
        <family val="1"/>
      </rPr>
      <t xml:space="preserve">:       </t>
    </r>
  </si>
  <si>
    <t xml:space="preserve"> m</t>
  </si>
  <si>
    <r>
      <t xml:space="preserve">7. Sử dụng các sản phẩm cải tạo ao/ </t>
    </r>
    <r>
      <rPr>
        <i/>
        <sz val="13"/>
        <rFont val="Times New Roman"/>
        <family val="1"/>
      </rPr>
      <t>Using preparation products</t>
    </r>
    <r>
      <rPr>
        <sz val="13"/>
        <rFont val="Times New Roman"/>
        <family val="1"/>
      </rPr>
      <t>:</t>
    </r>
  </si>
  <si>
    <r>
      <t xml:space="preserve">     Có/ </t>
    </r>
    <r>
      <rPr>
        <i/>
        <sz val="13"/>
        <rFont val="Times New Roman"/>
        <family val="1"/>
      </rPr>
      <t>Yes</t>
    </r>
    <r>
      <rPr>
        <sz val="13"/>
        <rFont val="Times New Roman"/>
        <family val="1"/>
      </rPr>
      <t xml:space="preserve">                      </t>
    </r>
  </si>
  <si>
    <r>
      <t xml:space="preserve">(xem trang sau/ </t>
    </r>
    <r>
      <rPr>
        <i/>
        <sz val="13"/>
        <rFont val="Times New Roman"/>
        <family val="1"/>
      </rPr>
      <t>view next page</t>
    </r>
    <r>
      <rPr>
        <sz val="13"/>
        <rFont val="Times New Roman"/>
        <family val="1"/>
      </rPr>
      <t>)</t>
    </r>
  </si>
  <si>
    <r>
      <t xml:space="preserve">     Không/ </t>
    </r>
    <r>
      <rPr>
        <i/>
        <sz val="13"/>
        <rFont val="Times New Roman"/>
        <family val="1"/>
      </rPr>
      <t>No</t>
    </r>
  </si>
  <si>
    <r>
      <t xml:space="preserve">8. Chất lượng nước trước khi thả cá/ </t>
    </r>
    <r>
      <rPr>
        <i/>
        <sz val="13"/>
        <rFont val="Times New Roman"/>
        <family val="1"/>
      </rPr>
      <t>Water before stocking quality</t>
    </r>
    <r>
      <rPr>
        <sz val="13"/>
        <rFont val="Times New Roman"/>
        <family val="1"/>
      </rPr>
      <t>:</t>
    </r>
  </si>
  <si>
    <r>
      <t xml:space="preserve">     Màu nước/</t>
    </r>
    <r>
      <rPr>
        <i/>
        <sz val="13"/>
        <rFont val="Times New Roman"/>
        <family val="1"/>
      </rPr>
      <t>Water color</t>
    </r>
    <r>
      <rPr>
        <sz val="13"/>
        <rFont val="Times New Roman"/>
        <family val="1"/>
      </rPr>
      <t xml:space="preserve">:                   </t>
    </r>
  </si>
  <si>
    <t xml:space="preserve">pH: </t>
  </si>
  <si>
    <r>
      <t>NH</t>
    </r>
    <r>
      <rPr>
        <vertAlign val="subscript"/>
        <sz val="12"/>
        <rFont val="Times New Roman"/>
        <family val="1"/>
      </rPr>
      <t>3</t>
    </r>
    <r>
      <rPr>
        <sz val="12"/>
        <rFont val="Times New Roman"/>
        <family val="1"/>
      </rPr>
      <t xml:space="preserve"> (mg/L):</t>
    </r>
  </si>
  <si>
    <r>
      <t>H</t>
    </r>
    <r>
      <rPr>
        <vertAlign val="subscript"/>
        <sz val="12"/>
        <rFont val="Times New Roman"/>
        <family val="1"/>
      </rPr>
      <t>2</t>
    </r>
    <r>
      <rPr>
        <sz val="12"/>
        <rFont val="Times New Roman"/>
        <family val="1"/>
      </rPr>
      <t>S (mg/L):</t>
    </r>
  </si>
  <si>
    <r>
      <t xml:space="preserve">     Nhiệt độ/</t>
    </r>
    <r>
      <rPr>
        <i/>
        <sz val="13"/>
        <rFont val="Times New Roman"/>
        <family val="1"/>
      </rPr>
      <t>Temperature</t>
    </r>
    <r>
      <rPr>
        <sz val="13"/>
        <rFont val="Times New Roman"/>
        <family val="1"/>
      </rPr>
      <t>:</t>
    </r>
  </si>
  <si>
    <t xml:space="preserve">DO (mg/L): </t>
  </si>
  <si>
    <r>
      <t>Độ kiềm/</t>
    </r>
    <r>
      <rPr>
        <i/>
        <sz val="12"/>
        <rFont val="Times New Roman"/>
        <family val="1"/>
      </rPr>
      <t>Alkalinity</t>
    </r>
    <r>
      <rPr>
        <sz val="12"/>
        <rFont val="Times New Roman"/>
        <family val="1"/>
      </rPr>
      <t xml:space="preserve"> (mg CaCO</t>
    </r>
    <r>
      <rPr>
        <vertAlign val="subscript"/>
        <sz val="12"/>
        <rFont val="Times New Roman"/>
        <family val="1"/>
      </rPr>
      <t>3</t>
    </r>
    <r>
      <rPr>
        <sz val="12"/>
        <rFont val="Times New Roman"/>
        <family val="1"/>
      </rPr>
      <t>/L):</t>
    </r>
  </si>
  <si>
    <r>
      <t xml:space="preserve"> 9. Kết cấu bờ ao/ </t>
    </r>
    <r>
      <rPr>
        <i/>
        <sz val="13"/>
        <rFont val="Times New Roman"/>
        <family val="1"/>
      </rPr>
      <t>Type of pond dike</t>
    </r>
    <r>
      <rPr>
        <sz val="13"/>
        <rFont val="Times New Roman"/>
        <family val="1"/>
      </rPr>
      <t>:</t>
    </r>
  </si>
  <si>
    <t>Đất sét/ Clay:</t>
  </si>
  <si>
    <r>
      <t xml:space="preserve">Sét pha cát/ </t>
    </r>
    <r>
      <rPr>
        <i/>
        <sz val="13"/>
        <rFont val="Times New Roman"/>
        <family val="1"/>
      </rPr>
      <t>Sandy lean clay</t>
    </r>
    <r>
      <rPr>
        <sz val="13"/>
        <rFont val="Times New Roman"/>
        <family val="1"/>
      </rPr>
      <t>:</t>
    </r>
  </si>
  <si>
    <t>Đất cát/ Sandy soil:</t>
  </si>
  <si>
    <t>Loại khác/ Others:</t>
  </si>
  <si>
    <r>
      <t>III/THÔNG TIN CÁ GIỐNG/</t>
    </r>
    <r>
      <rPr>
        <b/>
        <i/>
        <sz val="14"/>
        <rFont val="Times New Roman"/>
        <family val="1"/>
      </rPr>
      <t>Fingerling information</t>
    </r>
  </si>
  <si>
    <r>
      <t>1. Loại cá nuôi/</t>
    </r>
    <r>
      <rPr>
        <i/>
        <sz val="13"/>
        <rFont val="Times New Roman"/>
        <family val="1"/>
      </rPr>
      <t>Specie</t>
    </r>
    <r>
      <rPr>
        <sz val="13"/>
        <rFont val="Times New Roman"/>
        <family val="1"/>
      </rPr>
      <t xml:space="preserve">:  </t>
    </r>
  </si>
  <si>
    <r>
      <t xml:space="preserve">2. Nguồn giống/ </t>
    </r>
    <r>
      <rPr>
        <i/>
        <sz val="13"/>
        <rFont val="Times New Roman"/>
        <family val="1"/>
      </rPr>
      <t>Source of fingerling</t>
    </r>
    <r>
      <rPr>
        <sz val="13"/>
        <rFont val="Times New Roman"/>
        <family val="1"/>
      </rPr>
      <t xml:space="preserve">: </t>
    </r>
  </si>
  <si>
    <r>
      <t>3. Địa chỉ/</t>
    </r>
    <r>
      <rPr>
        <i/>
        <sz val="13"/>
        <rFont val="Times New Roman"/>
        <family val="1"/>
      </rPr>
      <t>Address</t>
    </r>
    <r>
      <rPr>
        <sz val="13"/>
        <rFont val="Times New Roman"/>
        <family val="1"/>
      </rPr>
      <t>:</t>
    </r>
  </si>
  <si>
    <r>
      <t xml:space="preserve">4. Kích cỡ giống thả/ </t>
    </r>
    <r>
      <rPr>
        <i/>
        <sz val="13"/>
        <rFont val="Times New Roman"/>
        <family val="1"/>
      </rPr>
      <t>Stocking size</t>
    </r>
    <r>
      <rPr>
        <sz val="13"/>
        <rFont val="Times New Roman"/>
        <family val="1"/>
      </rPr>
      <t>:</t>
    </r>
  </si>
  <si>
    <t>cms</t>
  </si>
  <si>
    <t>gram/pcs.</t>
  </si>
  <si>
    <r>
      <t xml:space="preserve">5. Tuổi giống/ </t>
    </r>
    <r>
      <rPr>
        <i/>
        <sz val="13"/>
        <rFont val="Times New Roman"/>
        <family val="1"/>
      </rPr>
      <t>Age of fingerling</t>
    </r>
    <r>
      <rPr>
        <sz val="13"/>
        <rFont val="Times New Roman"/>
        <family val="1"/>
      </rPr>
      <t xml:space="preserve">: </t>
    </r>
  </si>
  <si>
    <r>
      <t>6. Mật độ thả/</t>
    </r>
    <r>
      <rPr>
        <i/>
        <sz val="13"/>
        <rFont val="Times New Roman"/>
        <family val="1"/>
      </rPr>
      <t>Stocking density</t>
    </r>
    <r>
      <rPr>
        <sz val="13"/>
        <rFont val="Times New Roman"/>
        <family val="1"/>
      </rPr>
      <t xml:space="preserve">:      </t>
    </r>
  </si>
  <si>
    <r>
      <t>pcs</t>
    </r>
    <r>
      <rPr>
        <i/>
        <sz val="13"/>
        <rFont val="Times New Roman"/>
        <family val="1"/>
      </rPr>
      <t>/m</t>
    </r>
    <r>
      <rPr>
        <i/>
        <vertAlign val="superscript"/>
        <sz val="13"/>
        <rFont val="Times New Roman"/>
        <family val="1"/>
      </rPr>
      <t>2</t>
    </r>
    <r>
      <rPr>
        <sz val="13"/>
        <rFont val="Times New Roman"/>
        <family val="1"/>
      </rPr>
      <t>.</t>
    </r>
  </si>
  <si>
    <r>
      <t>7. Ngày thả/</t>
    </r>
    <r>
      <rPr>
        <i/>
        <sz val="13"/>
        <rFont val="Times New Roman"/>
        <family val="1"/>
      </rPr>
      <t xml:space="preserve"> Stocking date</t>
    </r>
    <r>
      <rPr>
        <sz val="13"/>
        <rFont val="Times New Roman"/>
        <family val="1"/>
      </rPr>
      <t xml:space="preserve">: </t>
    </r>
  </si>
  <si>
    <r>
      <t xml:space="preserve">8. Số lượng giống thả/ </t>
    </r>
    <r>
      <rPr>
        <i/>
        <sz val="13"/>
        <rFont val="Times New Roman"/>
        <family val="1"/>
      </rPr>
      <t>Number stocked</t>
    </r>
    <r>
      <rPr>
        <sz val="13"/>
        <rFont val="Times New Roman"/>
        <family val="1"/>
      </rPr>
      <t>:</t>
    </r>
  </si>
  <si>
    <r>
      <t>con/</t>
    </r>
    <r>
      <rPr>
        <i/>
        <sz val="13"/>
        <rFont val="Times New Roman"/>
        <family val="1"/>
      </rPr>
      <t>pcs</t>
    </r>
    <r>
      <rPr>
        <sz val="13"/>
        <rFont val="Times New Roman"/>
        <family val="1"/>
      </rPr>
      <t>.</t>
    </r>
  </si>
  <si>
    <r>
      <t>9. Khối lượng giống thả/</t>
    </r>
    <r>
      <rPr>
        <i/>
        <sz val="13"/>
        <rFont val="Times New Roman"/>
        <family val="1"/>
      </rPr>
      <t>Quantity stocked</t>
    </r>
    <r>
      <rPr>
        <sz val="13"/>
        <rFont val="Times New Roman"/>
        <family val="1"/>
      </rPr>
      <t xml:space="preserve">: </t>
    </r>
  </si>
  <si>
    <t>kg.</t>
  </si>
  <si>
    <r>
      <t xml:space="preserve">10. Sản lượng dự kiến/ </t>
    </r>
    <r>
      <rPr>
        <i/>
        <sz val="13"/>
        <rFont val="Times New Roman"/>
        <family val="1"/>
      </rPr>
      <t>Expected yield</t>
    </r>
    <r>
      <rPr>
        <sz val="13"/>
        <rFont val="Times New Roman"/>
        <family val="1"/>
      </rPr>
      <t xml:space="preserve">: </t>
    </r>
  </si>
  <si>
    <r>
      <t>tấn/</t>
    </r>
    <r>
      <rPr>
        <i/>
        <sz val="13"/>
        <rFont val="Times New Roman"/>
        <family val="1"/>
      </rPr>
      <t>ton</t>
    </r>
    <r>
      <rPr>
        <sz val="13"/>
        <rFont val="Times New Roman"/>
        <family val="1"/>
      </rPr>
      <t>.</t>
    </r>
  </si>
  <si>
    <t>Sáng: 3.5 - 3.9
Chiều: 3.9 - 4.5</t>
  </si>
  <si>
    <t>Sáng: 3.0 - 3.5
Chiều: 3.5 - 3.9</t>
  </si>
  <si>
    <t>Sáng: 2.9 - 3.2
Chiều: 3.2 - 3.5</t>
  </si>
  <si>
    <t>Sáng: 2.6 - 2.9
Chiều: 2.8 - 3.4</t>
  </si>
  <si>
    <t>tháng đề cập cho nhiệt độ là tháng của năm chứ không phải tháng nuôi</t>
  </si>
  <si>
    <t>sáng: từ 28 đến &lt;30
chiều: từ 29 đến &lt; 32</t>
  </si>
  <si>
    <t>sáng: từ 27 đến &lt;30
chiều: từ 29 đến &lt; 31</t>
  </si>
  <si>
    <t>sáng: từ 26 đến &lt;29
chiều: từ 28 đến &lt; 30</t>
  </si>
  <si>
    <t>Buổi sáng thấp hơn buổi chiều chênh lệch trong ngày min = 0.2, max = 1, bước nhảy là 0.1</t>
  </si>
  <si>
    <t>Buổi sáng thấp hơn buổi chiều chênh lệch trong ngày min = 0.5, max = 2, bước nhảy 0.1</t>
  </si>
  <si>
    <r>
      <t xml:space="preserve">TLBQ (kg/con)
</t>
    </r>
    <r>
      <rPr>
        <b/>
        <i/>
        <sz val="10"/>
        <color indexed="8"/>
        <rFont val="Times New Roman"/>
        <family val="1"/>
      </rPr>
      <t xml:space="preserve"> average weight (kg/pcs)</t>
    </r>
  </si>
  <si>
    <r>
      <t xml:space="preserve">Số cá chết (con)
</t>
    </r>
    <r>
      <rPr>
        <b/>
        <i/>
        <sz val="10"/>
        <color indexed="8"/>
        <rFont val="Times New Roman"/>
        <family val="1"/>
      </rPr>
      <t>Dead fish (pieces)</t>
    </r>
  </si>
  <si>
    <r>
      <t xml:space="preserve">Dấu hiệu lâm sàng
</t>
    </r>
    <r>
      <rPr>
        <b/>
        <i/>
        <sz val="10"/>
        <color indexed="8"/>
        <rFont val="Times New Roman"/>
        <family val="1"/>
      </rPr>
      <t>Clinical signs</t>
    </r>
  </si>
  <si>
    <r>
      <t xml:space="preserve">Hướng xử lý 
</t>
    </r>
    <r>
      <rPr>
        <b/>
        <i/>
        <sz val="10"/>
        <color indexed="8"/>
        <rFont val="Times New Roman"/>
        <family val="1"/>
      </rPr>
      <t>Solution</t>
    </r>
  </si>
  <si>
    <r>
      <t xml:space="preserve">Ao
</t>
    </r>
    <r>
      <rPr>
        <b/>
        <i/>
        <sz val="10"/>
        <color indexed="8"/>
        <rFont val="Times New Roman"/>
        <family val="1"/>
      </rPr>
      <t>Pond</t>
    </r>
  </si>
  <si>
    <r>
      <t xml:space="preserve">Cán bộ ngư y
</t>
    </r>
    <r>
      <rPr>
        <i/>
        <sz val="12"/>
        <color theme="1"/>
        <rFont val="Times New Roman"/>
        <family val="1"/>
      </rPr>
      <t>Fishery staff</t>
    </r>
  </si>
  <si>
    <r>
      <t xml:space="preserve">Ký sinh trùng
 </t>
    </r>
    <r>
      <rPr>
        <b/>
        <i/>
        <sz val="10"/>
        <color indexed="8"/>
        <rFont val="Times New Roman"/>
        <family val="1"/>
      </rPr>
      <t>Parasites</t>
    </r>
  </si>
  <si>
    <t>DANH MỤC MÃ SỐ THÀNH PHẨM</t>
  </si>
  <si>
    <t>Tên thành phẩm</t>
  </si>
  <si>
    <t>Code TP</t>
  </si>
  <si>
    <t>Thành phẩm thức ăn cá tra Feed One 2 li 22 đạm</t>
  </si>
  <si>
    <t>0104</t>
  </si>
  <si>
    <t>Thành phẩm thức ăn cá tra Feed One 3 li 22 đạm</t>
  </si>
  <si>
    <t>0105</t>
  </si>
  <si>
    <t>Thành phẩm thức ăn cá tra Feed One 4 li 22 đạm</t>
  </si>
  <si>
    <t>0106</t>
  </si>
  <si>
    <t>Thành phẩm thức ăn cá tra Feed One 6 li 22 đạm</t>
  </si>
  <si>
    <t>0107</t>
  </si>
  <si>
    <t>Thành phẩm thức ăn cá tra Feed One 8 li 22 đạm</t>
  </si>
  <si>
    <t>0108</t>
  </si>
  <si>
    <t>0114</t>
  </si>
  <si>
    <t>0115</t>
  </si>
  <si>
    <t>0116</t>
  </si>
  <si>
    <t>0117</t>
  </si>
  <si>
    <t>0118</t>
  </si>
  <si>
    <t>Thành phẩm thức ăn cá tra Feed One 2 li 26 đạm</t>
  </si>
  <si>
    <t>0124</t>
  </si>
  <si>
    <t>Thành phẩm thức ăn cá tra Feed One 3 li 26 đạm</t>
  </si>
  <si>
    <t>0125</t>
  </si>
  <si>
    <t>Thành phẩm thức ăn cá tra Feed One 4 li 26 đạm</t>
  </si>
  <si>
    <t>0126</t>
  </si>
  <si>
    <t>Thành phẩm thức ăn cá tra Feed One 6 li 26 đạm</t>
  </si>
  <si>
    <t>0127</t>
  </si>
  <si>
    <t>Thành phẩm thức ăn cá tra Feed One 8li26 đạm</t>
  </si>
  <si>
    <t>0128</t>
  </si>
  <si>
    <t>0157</t>
  </si>
  <si>
    <t>0158</t>
  </si>
  <si>
    <t>0159</t>
  </si>
  <si>
    <t>0160</t>
  </si>
  <si>
    <t>0161</t>
  </si>
  <si>
    <t>0214</t>
  </si>
  <si>
    <t>0215</t>
  </si>
  <si>
    <t>0216</t>
  </si>
  <si>
    <t>0217</t>
  </si>
  <si>
    <t>0218</t>
  </si>
  <si>
    <t>0224</t>
  </si>
  <si>
    <t>0225</t>
  </si>
  <si>
    <t>0226</t>
  </si>
  <si>
    <t>0227</t>
  </si>
  <si>
    <t>Thành phẩm thức ăn cá tra Feed One 8 li 26 đạm</t>
  </si>
  <si>
    <t>0228</t>
  </si>
  <si>
    <t>Tân Hồng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</si>
</sst>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1010000]d/m/yy;@"/>
    <numFmt numFmtId="167" formatCode="[$-409]d\-mmm;@"/>
    <numFmt numFmtId="168" formatCode="_(* #,##0_);_(* \(#,##0\);_(* &quot;-&quot;??_);_(@_)"/>
  </numFmts>
  <fonts count="106">
    <font>
      <sz val="13"/>
      <color theme="1"/>
      <name val="Times New Roman"/>
      <family val="2"/>
    </font>
    <font>
      <sz val="13"/>
      <color theme="1"/>
      <name val="Times New Roman"/>
      <family val="2"/>
    </font>
    <font>
      <sz val="13"/>
      <color rgb="FFFF0000"/>
      <name val="Times New Roman"/>
      <family val="2"/>
    </font>
    <font>
      <sz val="8"/>
      <name val="Times New Roman"/>
      <family val="2"/>
    </font>
    <font>
      <i/>
      <sz val="13"/>
      <color theme="1"/>
      <name val="Times New Roman"/>
      <family val="1"/>
    </font>
    <font>
      <b/>
      <sz val="13"/>
      <color theme="1"/>
      <name val="Times New Roman"/>
      <family val="1"/>
    </font>
    <font>
      <sz val="10"/>
      <name val="Arial"/>
      <family val="2"/>
    </font>
    <font>
      <b/>
      <i/>
      <sz val="16"/>
      <name val="Times New Roman"/>
      <family val="1"/>
    </font>
    <font>
      <sz val="10"/>
      <color rgb="FFFF0000"/>
      <name val="Times New Roman"/>
      <family val="1"/>
    </font>
    <font>
      <i/>
      <sz val="10"/>
      <color indexed="10"/>
      <name val="Times New Roman"/>
      <family val="1"/>
    </font>
    <font>
      <sz val="10"/>
      <color indexed="10"/>
      <name val="Times New Roman"/>
      <family val="1"/>
    </font>
    <font>
      <b/>
      <sz val="10"/>
      <color indexed="10"/>
      <name val="Times New Roman"/>
      <family val="1"/>
    </font>
    <font>
      <sz val="10"/>
      <name val="Times New Roman"/>
      <family val="1"/>
    </font>
    <font>
      <b/>
      <sz val="24"/>
      <name val="Times New Roman"/>
      <family val="1"/>
    </font>
    <font>
      <sz val="12"/>
      <name val="Times New Roman"/>
      <family val="1"/>
    </font>
    <font>
      <sz val="9"/>
      <name val="Times New Roman"/>
      <family val="1"/>
    </font>
    <font>
      <i/>
      <sz val="9"/>
      <name val="Times New Roman"/>
      <family val="1"/>
    </font>
    <font>
      <vertAlign val="superscript"/>
      <sz val="9"/>
      <name val="Times New Roman"/>
      <family val="1"/>
    </font>
    <font>
      <b/>
      <sz val="9"/>
      <color indexed="41"/>
      <name val="Times New Roman"/>
      <family val="1"/>
    </font>
    <font>
      <b/>
      <sz val="9"/>
      <name val="Times New Roman"/>
      <family val="1"/>
    </font>
    <font>
      <b/>
      <i/>
      <sz val="9"/>
      <name val="Times New Roman"/>
      <family val="1"/>
    </font>
    <font>
      <b/>
      <sz val="11"/>
      <name val="Times New Roman"/>
      <family val="1"/>
    </font>
    <font>
      <b/>
      <sz val="9"/>
      <color rgb="FFFF0000"/>
      <name val="Times New Roman"/>
      <family val="1"/>
    </font>
    <font>
      <b/>
      <sz val="12"/>
      <color theme="1"/>
      <name val="Times New Roman"/>
      <family val="1"/>
    </font>
    <font>
      <sz val="12"/>
      <color theme="1"/>
      <name val="Times New Roman"/>
      <family val="1"/>
    </font>
    <font>
      <sz val="11"/>
      <color theme="1"/>
      <name val="Times New Roman"/>
      <family val="1"/>
    </font>
    <font>
      <sz val="11"/>
      <name val="Times New Roman"/>
      <family val="1"/>
    </font>
    <font>
      <vertAlign val="superscript"/>
      <sz val="11"/>
      <name val="Times New Roman"/>
      <family val="1"/>
    </font>
    <font>
      <sz val="9"/>
      <color theme="1"/>
      <name val="Times New Roman"/>
      <family val="1"/>
    </font>
    <font>
      <sz val="13"/>
      <color rgb="FF0070C0"/>
      <name val="Times New Roman"/>
      <family val="1"/>
    </font>
    <font>
      <b/>
      <sz val="16"/>
      <name val="Times New Roman"/>
      <family val="1"/>
    </font>
    <font>
      <sz val="11"/>
      <color rgb="FFFF0000"/>
      <name val="Times New Roman"/>
      <family val="1"/>
    </font>
    <font>
      <sz val="13"/>
      <color rgb="FFFF0000"/>
      <name val="Times New Roman"/>
      <family val="1"/>
    </font>
    <font>
      <sz val="11"/>
      <color theme="0"/>
      <name val="Times New Roman"/>
      <family val="1"/>
    </font>
    <font>
      <sz val="13"/>
      <name val="Times New Roman"/>
      <family val="2"/>
    </font>
    <font>
      <b/>
      <sz val="18"/>
      <name val="Times New Roman"/>
      <family val="1"/>
    </font>
    <font>
      <b/>
      <sz val="12"/>
      <name val="Times New Roman"/>
      <family val="1"/>
    </font>
    <font>
      <vertAlign val="superscript"/>
      <sz val="12"/>
      <name val="Times New Roman"/>
      <family val="1"/>
    </font>
    <font>
      <sz val="12"/>
      <color rgb="FF000000"/>
      <name val="Times New Roman"/>
      <family val="1"/>
    </font>
    <font>
      <vertAlign val="subscript"/>
      <sz val="12"/>
      <name val="Times New Roman"/>
      <family val="1"/>
    </font>
    <font>
      <b/>
      <sz val="11"/>
      <color theme="0"/>
      <name val="Times New Roman"/>
      <family val="1"/>
    </font>
    <font>
      <sz val="13"/>
      <color theme="1"/>
      <name val="Times New Roman"/>
      <family val="1"/>
    </font>
    <font>
      <b/>
      <sz val="11"/>
      <color rgb="FFFF0000"/>
      <name val="Times New Roman"/>
      <family val="1"/>
    </font>
    <font>
      <sz val="10"/>
      <name val="Arial"/>
      <family val="2"/>
    </font>
    <font>
      <sz val="11"/>
      <color theme="1"/>
      <name val="Calibri"/>
      <family val="2"/>
      <scheme val="minor"/>
    </font>
    <font>
      <b/>
      <sz val="16"/>
      <name val="Times New Roman"/>
      <family val="1"/>
      <charset val="163"/>
    </font>
    <font>
      <sz val="10"/>
      <color theme="1"/>
      <name val="Times New Roman"/>
      <family val="1"/>
    </font>
    <font>
      <i/>
      <sz val="10"/>
      <color indexed="8"/>
      <name val="Times New Roman"/>
      <family val="1"/>
    </font>
    <font>
      <b/>
      <sz val="10"/>
      <color indexed="8"/>
      <name val="Times New Roman"/>
      <family val="1"/>
    </font>
    <font>
      <sz val="10"/>
      <color indexed="8"/>
      <name val="Times New Roman"/>
      <family val="1"/>
    </font>
    <font>
      <sz val="13"/>
      <color theme="1"/>
      <name val="Times"/>
      <family val="1"/>
    </font>
    <font>
      <sz val="12"/>
      <color rgb="FFFF0000"/>
      <name val="Times New Roman"/>
      <family val="1"/>
    </font>
    <font>
      <i/>
      <sz val="12"/>
      <color indexed="10"/>
      <name val="Times New Roman"/>
      <family val="1"/>
    </font>
    <font>
      <sz val="12"/>
      <color indexed="10"/>
      <name val="Times New Roman"/>
      <family val="1"/>
    </font>
    <font>
      <i/>
      <sz val="12"/>
      <color indexed="8"/>
      <name val="Times New Roman"/>
      <family val="1"/>
    </font>
    <font>
      <sz val="12"/>
      <color indexed="8"/>
      <name val="Times New Roman"/>
      <family val="1"/>
    </font>
    <font>
      <b/>
      <i/>
      <sz val="12"/>
      <color indexed="8"/>
      <name val="Times New Roman"/>
      <family val="1"/>
    </font>
    <font>
      <b/>
      <sz val="12"/>
      <color indexed="8"/>
      <name val="Times New Roman"/>
      <family val="1"/>
    </font>
    <font>
      <i/>
      <sz val="12"/>
      <name val="Times New Roman"/>
      <family val="1"/>
    </font>
    <font>
      <sz val="12"/>
      <color rgb="FFFF0000"/>
      <name val="Times New Roman"/>
      <family val="1"/>
      <charset val="163"/>
    </font>
    <font>
      <i/>
      <sz val="12"/>
      <color indexed="10"/>
      <name val="Times New Roman"/>
      <family val="1"/>
      <charset val="163"/>
    </font>
    <font>
      <sz val="12"/>
      <color indexed="10"/>
      <name val="Times New Roman"/>
      <family val="1"/>
      <charset val="163"/>
    </font>
    <font>
      <i/>
      <sz val="12"/>
      <color theme="1"/>
      <name val="Times New Roman"/>
      <family val="1"/>
    </font>
    <font>
      <sz val="12"/>
      <color theme="1"/>
      <name val="Times New Roman"/>
      <family val="1"/>
      <charset val="2"/>
    </font>
    <font>
      <sz val="12"/>
      <color indexed="8"/>
      <name val="Wingdings"/>
      <charset val="2"/>
    </font>
    <font>
      <sz val="12"/>
      <color theme="1"/>
      <name val="Times"/>
      <family val="1"/>
    </font>
    <font>
      <sz val="13"/>
      <name val="Times New Roman"/>
      <family val="1"/>
    </font>
    <font>
      <b/>
      <sz val="10"/>
      <color theme="1"/>
      <name val="Times New Roman"/>
      <family val="1"/>
    </font>
    <font>
      <b/>
      <i/>
      <sz val="10"/>
      <color indexed="8"/>
      <name val="Times New Roman"/>
      <family val="1"/>
    </font>
    <font>
      <i/>
      <sz val="11"/>
      <name val="Times New Roman"/>
      <family val="1"/>
    </font>
    <font>
      <b/>
      <sz val="13"/>
      <color rgb="FFFF0000"/>
      <name val="Times New Roman"/>
      <family val="1"/>
    </font>
    <font>
      <b/>
      <i/>
      <sz val="13"/>
      <color indexed="10"/>
      <name val="Times New Roman"/>
      <family val="1"/>
    </font>
    <font>
      <b/>
      <i/>
      <sz val="13"/>
      <color indexed="8"/>
      <name val="Times New Roman"/>
      <family val="1"/>
    </font>
    <font>
      <b/>
      <sz val="13"/>
      <name val="Times New Roman"/>
      <family val="1"/>
    </font>
    <font>
      <b/>
      <i/>
      <sz val="13"/>
      <name val="Times New Roman"/>
      <family val="1"/>
    </font>
    <font>
      <sz val="11"/>
      <name val="Times New Roman"/>
      <family val="1"/>
      <charset val="163"/>
    </font>
    <font>
      <sz val="12"/>
      <name val="Times New Roman"/>
      <family val="1"/>
      <charset val="163"/>
    </font>
    <font>
      <b/>
      <sz val="12"/>
      <name val="Times New Roman"/>
      <family val="1"/>
      <charset val="163"/>
    </font>
    <font>
      <b/>
      <sz val="14"/>
      <name val="Times New Roman"/>
      <family val="1"/>
    </font>
    <font>
      <b/>
      <i/>
      <sz val="14"/>
      <name val="Times New Roman"/>
      <family val="1"/>
    </font>
    <font>
      <b/>
      <sz val="9"/>
      <color theme="1"/>
      <name val="Times New Roman"/>
      <family val="1"/>
    </font>
    <font>
      <b/>
      <i/>
      <sz val="9"/>
      <color indexed="8"/>
      <name val="Times New Roman"/>
      <family val="1"/>
    </font>
    <font>
      <sz val="14"/>
      <color rgb="FFFF0000"/>
      <name val="Times New Roman"/>
      <family val="1"/>
    </font>
    <font>
      <i/>
      <sz val="13"/>
      <name val="Times New Roman"/>
      <family val="1"/>
    </font>
    <font>
      <b/>
      <i/>
      <sz val="11"/>
      <name val="Times New Roman"/>
      <family val="1"/>
    </font>
    <font>
      <i/>
      <sz val="13"/>
      <color indexed="8"/>
      <name val="Times New Roman"/>
      <family val="1"/>
    </font>
    <font>
      <sz val="13"/>
      <color indexed="8"/>
      <name val="Times New Roman"/>
      <family val="1"/>
    </font>
    <font>
      <sz val="28"/>
      <name val="Times New Roman"/>
      <family val="1"/>
    </font>
    <font>
      <sz val="11"/>
      <name val="Wingdings"/>
      <charset val="2"/>
    </font>
    <font>
      <b/>
      <sz val="8"/>
      <name val="Times New Roman"/>
      <family val="1"/>
    </font>
    <font>
      <b/>
      <sz val="16"/>
      <color theme="1"/>
      <name val="Times New Roman"/>
      <family val="1"/>
    </font>
    <font>
      <b/>
      <sz val="18"/>
      <color theme="1"/>
      <name val="Times New Roman"/>
      <family val="1"/>
    </font>
    <font>
      <vertAlign val="superscript"/>
      <sz val="13"/>
      <color theme="1"/>
      <name val="Times New Roman"/>
      <family val="1"/>
    </font>
    <font>
      <sz val="11"/>
      <name val="Calibri"/>
      <family val="2"/>
      <scheme val="minor"/>
    </font>
    <font>
      <b/>
      <sz val="10"/>
      <name val="Times New Roman"/>
      <family val="1"/>
    </font>
    <font>
      <b/>
      <i/>
      <sz val="10"/>
      <name val="Times New Roman"/>
      <family val="1"/>
    </font>
    <font>
      <b/>
      <sz val="10"/>
      <name val="VNI-Times"/>
    </font>
    <font>
      <b/>
      <i/>
      <sz val="12"/>
      <name val="Times New Roman"/>
      <family val="1"/>
    </font>
    <font>
      <b/>
      <sz val="11"/>
      <color theme="1"/>
      <name val="Times New Roman"/>
      <family val="1"/>
    </font>
    <font>
      <vertAlign val="superscript"/>
      <sz val="12"/>
      <name val="Times New Roman"/>
      <family val="1"/>
      <charset val="163"/>
    </font>
    <font>
      <sz val="13"/>
      <name val="Times New Roman"/>
      <family val="1"/>
      <charset val="163"/>
    </font>
    <font>
      <sz val="11"/>
      <name val="Arial"/>
      <family val="2"/>
      <charset val="163"/>
    </font>
    <font>
      <vertAlign val="superscript"/>
      <sz val="13"/>
      <name val="Times New Roman"/>
      <family val="1"/>
    </font>
    <font>
      <i/>
      <vertAlign val="superscript"/>
      <sz val="13"/>
      <name val="Times New Roman"/>
      <family val="1"/>
    </font>
    <font>
      <b/>
      <sz val="11"/>
      <color theme="1"/>
      <name val="Times New Roman"/>
      <family val="1"/>
      <charset val="163"/>
    </font>
    <font>
      <sz val="11"/>
      <color theme="1"/>
      <name val="Times New Roman"/>
      <family val="1"/>
      <charset val="163"/>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rgb="FFFF66FF"/>
        <bgColor indexed="64"/>
      </patternFill>
    </fill>
    <fill>
      <patternFill patternType="solid">
        <fgColor rgb="FFE2BFB6"/>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8" tint="0.59999389629810485"/>
        <bgColor indexed="64"/>
      </patternFill>
    </fill>
    <fill>
      <patternFill patternType="solid">
        <fgColor rgb="FFD4E7C7"/>
        <bgColor indexed="64"/>
      </patternFill>
    </fill>
    <fill>
      <patternFill patternType="solid">
        <fgColor rgb="FFD4E7C7"/>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8">
    <xf numFmtId="0" fontId="0" fillId="0" borderId="0"/>
    <xf numFmtId="43" fontId="1" fillId="0" borderId="0" applyFont="0" applyFill="0" applyBorder="0" applyAlignment="0" applyProtection="0"/>
    <xf numFmtId="0" fontId="6" fillId="0" borderId="0"/>
    <xf numFmtId="0" fontId="44" fillId="0" borderId="0"/>
    <xf numFmtId="0" fontId="44" fillId="0" borderId="0"/>
    <xf numFmtId="43" fontId="6" fillId="0" borderId="0" applyFont="0" applyFill="0" applyBorder="0" applyAlignment="0" applyProtection="0"/>
    <xf numFmtId="0" fontId="43" fillId="0" borderId="0"/>
    <xf numFmtId="43" fontId="44" fillId="0" borderId="0" applyFont="0" applyFill="0" applyBorder="0" applyAlignment="0" applyProtection="0"/>
  </cellStyleXfs>
  <cellXfs count="511">
    <xf numFmtId="0" fontId="0" fillId="0" borderId="0" xfId="0"/>
    <xf numFmtId="0" fontId="2" fillId="0" borderId="0" xfId="0" applyFont="1"/>
    <xf numFmtId="0" fontId="0" fillId="0" borderId="0" xfId="0" applyAlignment="1">
      <alignment horizontal="right"/>
    </xf>
    <xf numFmtId="0" fontId="0" fillId="0" borderId="0" xfId="0" applyAlignment="1">
      <alignment horizontal="left"/>
    </xf>
    <xf numFmtId="0" fontId="5" fillId="0" borderId="0" xfId="0" applyFont="1"/>
    <xf numFmtId="0" fontId="12" fillId="0" borderId="0" xfId="2" applyFont="1" applyAlignment="1">
      <alignment horizontal="center"/>
    </xf>
    <xf numFmtId="0" fontId="13" fillId="0" borderId="0" xfId="2" applyFont="1" applyAlignment="1">
      <alignment horizontal="center" vertical="center"/>
    </xf>
    <xf numFmtId="0" fontId="14" fillId="0" borderId="0" xfId="2" applyFont="1" applyAlignment="1">
      <alignment horizontal="left" vertical="top" wrapText="1"/>
    </xf>
    <xf numFmtId="0" fontId="15" fillId="0" borderId="0" xfId="2" applyFont="1" applyAlignment="1">
      <alignment horizontal="center"/>
    </xf>
    <xf numFmtId="0" fontId="15" fillId="0" borderId="1" xfId="2" applyFont="1" applyBorder="1" applyAlignment="1">
      <alignment horizontal="center" vertical="center" wrapText="1"/>
    </xf>
    <xf numFmtId="0" fontId="15" fillId="0" borderId="1" xfId="2" applyFont="1" applyBorder="1" applyAlignment="1">
      <alignment horizontal="center" vertical="center" textRotation="90" wrapText="1"/>
    </xf>
    <xf numFmtId="0" fontId="15" fillId="0" borderId="0" xfId="2" applyFont="1" applyAlignment="1">
      <alignment horizontal="center" vertical="center" wrapText="1"/>
    </xf>
    <xf numFmtId="0" fontId="15" fillId="0" borderId="0" xfId="2" applyFont="1" applyAlignment="1">
      <alignment horizontal="center" vertical="center" textRotation="90" wrapText="1"/>
    </xf>
    <xf numFmtId="0" fontId="18" fillId="0" borderId="1" xfId="2" applyFont="1" applyBorder="1" applyAlignment="1">
      <alignment horizontal="center"/>
    </xf>
    <xf numFmtId="0" fontId="18" fillId="0" borderId="1" xfId="2" applyFont="1" applyBorder="1"/>
    <xf numFmtId="0" fontId="18" fillId="0" borderId="0" xfId="2" applyFont="1" applyAlignment="1">
      <alignment horizontal="center"/>
    </xf>
    <xf numFmtId="0" fontId="19" fillId="0" borderId="1" xfId="2" applyFont="1" applyBorder="1" applyAlignment="1">
      <alignment horizontal="center"/>
    </xf>
    <xf numFmtId="1" fontId="19" fillId="0" borderId="19" xfId="2" applyNumberFormat="1" applyFont="1" applyBorder="1" applyAlignment="1">
      <alignment vertical="center" wrapText="1"/>
    </xf>
    <xf numFmtId="1" fontId="21" fillId="0" borderId="21" xfId="2" applyNumberFormat="1" applyFont="1" applyBorder="1" applyAlignment="1">
      <alignment vertical="center"/>
    </xf>
    <xf numFmtId="0" fontId="19" fillId="0" borderId="2" xfId="2" applyFont="1" applyBorder="1" applyAlignment="1">
      <alignment vertical="top"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8" xfId="0" applyFont="1" applyBorder="1" applyAlignment="1">
      <alignment horizontal="center" vertical="center" wrapText="1"/>
    </xf>
    <xf numFmtId="0" fontId="0" fillId="0" borderId="1" xfId="0" applyBorder="1"/>
    <xf numFmtId="0" fontId="0" fillId="0" borderId="1" xfId="0" applyBorder="1" applyAlignment="1">
      <alignment vertical="center" wrapText="1"/>
    </xf>
    <xf numFmtId="0" fontId="5" fillId="0" borderId="1" xfId="0" applyFont="1" applyBorder="1" applyAlignment="1">
      <alignment horizontal="center" vertical="center"/>
    </xf>
    <xf numFmtId="0" fontId="0" fillId="0" borderId="0" xfId="0" applyAlignment="1">
      <alignment vertical="center" wrapText="1"/>
    </xf>
    <xf numFmtId="0" fontId="0" fillId="0" borderId="0" xfId="0" applyAlignment="1">
      <alignment wrapText="1"/>
    </xf>
    <xf numFmtId="0" fontId="2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3" fillId="0" borderId="0" xfId="0" applyFont="1" applyAlignment="1">
      <alignment horizontal="left" vertical="center" wrapText="1"/>
    </xf>
    <xf numFmtId="0" fontId="24" fillId="0" borderId="1" xfId="0" applyFont="1" applyBorder="1" applyAlignment="1">
      <alignment vertical="center" wrapText="1"/>
    </xf>
    <xf numFmtId="0" fontId="0" fillId="0" borderId="1" xfId="0" applyBorder="1" applyAlignment="1">
      <alignment vertical="center"/>
    </xf>
    <xf numFmtId="43" fontId="0" fillId="0" borderId="1" xfId="1" applyFont="1" applyBorder="1" applyAlignment="1">
      <alignment vertical="center" wrapText="1"/>
    </xf>
    <xf numFmtId="0" fontId="2" fillId="0" borderId="1" xfId="0" applyFont="1" applyBorder="1" applyAlignment="1">
      <alignment vertical="center" wrapText="1"/>
    </xf>
    <xf numFmtId="0" fontId="2" fillId="0" borderId="1" xfId="0" applyFont="1" applyBorder="1"/>
    <xf numFmtId="0" fontId="15" fillId="0" borderId="1" xfId="2" applyFont="1" applyBorder="1" applyAlignment="1">
      <alignment horizontal="center" wrapText="1"/>
    </xf>
    <xf numFmtId="0" fontId="15" fillId="0" borderId="1" xfId="2" applyFont="1" applyBorder="1" applyAlignment="1">
      <alignment horizontal="center"/>
    </xf>
    <xf numFmtId="0" fontId="19" fillId="2" borderId="2" xfId="2" applyFont="1" applyFill="1" applyBorder="1" applyAlignment="1">
      <alignment vertical="top" wrapText="1"/>
    </xf>
    <xf numFmtId="0" fontId="12" fillId="0" borderId="0" xfId="2" applyFont="1"/>
    <xf numFmtId="14" fontId="25" fillId="4" borderId="2" xfId="0" applyNumberFormat="1" applyFont="1" applyFill="1" applyBorder="1" applyAlignment="1">
      <alignment horizontal="center" vertical="center"/>
    </xf>
    <xf numFmtId="14" fontId="26" fillId="0" borderId="2" xfId="0" applyNumberFormat="1" applyFont="1" applyBorder="1" applyAlignment="1">
      <alignment horizontal="center" vertical="center"/>
    </xf>
    <xf numFmtId="14" fontId="26" fillId="0" borderId="3" xfId="0" applyNumberFormat="1" applyFont="1" applyBorder="1" applyAlignment="1">
      <alignment horizontal="center" vertical="center"/>
    </xf>
    <xf numFmtId="0" fontId="26" fillId="0" borderId="1" xfId="0" applyFont="1" applyBorder="1" applyAlignment="1">
      <alignment horizontal="center" vertical="center"/>
    </xf>
    <xf numFmtId="14" fontId="26" fillId="0" borderId="1" xfId="0" applyNumberFormat="1" applyFont="1" applyBorder="1" applyAlignment="1">
      <alignment horizontal="center" vertical="center"/>
    </xf>
    <xf numFmtId="0" fontId="25" fillId="4" borderId="1" xfId="0" applyFont="1" applyFill="1" applyBorder="1" applyAlignment="1">
      <alignment horizontal="center" vertical="center"/>
    </xf>
    <xf numFmtId="0" fontId="26" fillId="4" borderId="1" xfId="0" applyFont="1" applyFill="1" applyBorder="1" applyAlignment="1">
      <alignment horizontal="center" vertical="center"/>
    </xf>
    <xf numFmtId="14" fontId="28" fillId="0" borderId="1" xfId="2" applyNumberFormat="1" applyFont="1" applyBorder="1" applyAlignment="1">
      <alignment horizontal="center"/>
    </xf>
    <xf numFmtId="0" fontId="15" fillId="5" borderId="1" xfId="2" applyFont="1" applyFill="1" applyBorder="1" applyAlignment="1">
      <alignment horizontal="center" vertical="center" textRotation="90" wrapText="1"/>
    </xf>
    <xf numFmtId="0" fontId="24" fillId="0" borderId="1" xfId="0" applyFont="1" applyBorder="1" applyAlignment="1">
      <alignment horizontal="justify" vertical="center"/>
    </xf>
    <xf numFmtId="0" fontId="15" fillId="6" borderId="1" xfId="2" applyFont="1" applyFill="1" applyBorder="1" applyAlignment="1">
      <alignment horizontal="center" vertical="center" textRotation="90" wrapText="1"/>
    </xf>
    <xf numFmtId="3" fontId="26" fillId="0" borderId="1" xfId="0" applyNumberFormat="1" applyFont="1" applyBorder="1" applyAlignment="1">
      <alignment horizontal="center" vertical="center"/>
    </xf>
    <xf numFmtId="0" fontId="26" fillId="0" borderId="1" xfId="0" applyFont="1" applyBorder="1" applyAlignment="1">
      <alignment horizontal="center" vertical="center" wrapText="1"/>
    </xf>
    <xf numFmtId="47" fontId="26" fillId="0" borderId="1" xfId="0" applyNumberFormat="1" applyFont="1" applyBorder="1" applyAlignment="1">
      <alignment horizontal="center" vertical="center" wrapText="1"/>
    </xf>
    <xf numFmtId="164" fontId="26" fillId="0" borderId="1" xfId="0" applyNumberFormat="1" applyFont="1" applyBorder="1" applyAlignment="1">
      <alignment horizontal="center" vertical="center"/>
    </xf>
    <xf numFmtId="0" fontId="26" fillId="0" borderId="1" xfId="0" applyFont="1" applyBorder="1" applyAlignment="1">
      <alignment vertical="center"/>
    </xf>
    <xf numFmtId="0" fontId="31" fillId="4" borderId="1" xfId="0" applyFont="1" applyFill="1" applyBorder="1" applyAlignment="1">
      <alignment horizontal="center" vertical="center"/>
    </xf>
    <xf numFmtId="3" fontId="25" fillId="4" borderId="1" xfId="0" applyNumberFormat="1" applyFont="1" applyFill="1" applyBorder="1" applyAlignment="1">
      <alignment horizontal="center" vertical="center"/>
    </xf>
    <xf numFmtId="0" fontId="25" fillId="4" borderId="1" xfId="0" applyFont="1" applyFill="1" applyBorder="1" applyAlignment="1">
      <alignment horizontal="center" vertical="center" wrapText="1"/>
    </xf>
    <xf numFmtId="14" fontId="25" fillId="4" borderId="1" xfId="0" applyNumberFormat="1" applyFont="1" applyFill="1" applyBorder="1" applyAlignment="1">
      <alignment horizontal="center" vertical="center"/>
    </xf>
    <xf numFmtId="164" fontId="25" fillId="4" borderId="1" xfId="0" applyNumberFormat="1" applyFont="1" applyFill="1" applyBorder="1" applyAlignment="1">
      <alignment horizontal="center" vertical="center"/>
    </xf>
    <xf numFmtId="0" fontId="26" fillId="0" borderId="2" xfId="0" applyFont="1" applyBorder="1" applyAlignment="1">
      <alignment horizontal="center" vertical="center"/>
    </xf>
    <xf numFmtId="3" fontId="26" fillId="0" borderId="2" xfId="0" applyNumberFormat="1" applyFont="1" applyBorder="1" applyAlignment="1">
      <alignment horizontal="center" vertical="center"/>
    </xf>
    <xf numFmtId="0" fontId="26" fillId="0" borderId="3" xfId="0" applyFont="1" applyBorder="1" applyAlignment="1">
      <alignment horizontal="center" vertical="center"/>
    </xf>
    <xf numFmtId="3" fontId="26" fillId="0" borderId="3" xfId="0" applyNumberFormat="1" applyFont="1" applyBorder="1" applyAlignment="1">
      <alignment horizontal="center" vertical="center"/>
    </xf>
    <xf numFmtId="0" fontId="31" fillId="0" borderId="3" xfId="0" applyFont="1" applyBorder="1" applyAlignment="1">
      <alignment horizontal="center" vertical="center"/>
    </xf>
    <xf numFmtId="3" fontId="26" fillId="4" borderId="1" xfId="0" applyNumberFormat="1" applyFont="1" applyFill="1" applyBorder="1" applyAlignment="1">
      <alignment horizontal="center" vertical="center"/>
    </xf>
    <xf numFmtId="0" fontId="26" fillId="4" borderId="1" xfId="0" applyFont="1" applyFill="1" applyBorder="1" applyAlignment="1">
      <alignment horizontal="center" vertical="center" wrapText="1"/>
    </xf>
    <xf numFmtId="14" fontId="26" fillId="4" borderId="1" xfId="0" applyNumberFormat="1" applyFont="1" applyFill="1" applyBorder="1" applyAlignment="1">
      <alignment horizontal="center" vertical="center"/>
    </xf>
    <xf numFmtId="164" fontId="26" fillId="4" borderId="1" xfId="0" applyNumberFormat="1" applyFont="1" applyFill="1" applyBorder="1" applyAlignment="1">
      <alignment horizontal="center" vertical="center"/>
    </xf>
    <xf numFmtId="0" fontId="26" fillId="0" borderId="1" xfId="0" applyFont="1" applyBorder="1" applyAlignment="1">
      <alignment vertical="center" wrapText="1"/>
    </xf>
    <xf numFmtId="0" fontId="25" fillId="4" borderId="2" xfId="0" applyFont="1" applyFill="1" applyBorder="1" applyAlignment="1">
      <alignment horizontal="center" vertical="center"/>
    </xf>
    <xf numFmtId="3" fontId="25" fillId="4" borderId="2" xfId="0" applyNumberFormat="1" applyFont="1" applyFill="1" applyBorder="1" applyAlignment="1">
      <alignment horizontal="center" vertical="center"/>
    </xf>
    <xf numFmtId="0" fontId="25" fillId="4" borderId="2" xfId="0" applyFont="1" applyFill="1" applyBorder="1" applyAlignment="1">
      <alignment horizontal="center" vertical="center" wrapText="1"/>
    </xf>
    <xf numFmtId="164" fontId="25" fillId="4" borderId="2" xfId="0" applyNumberFormat="1" applyFont="1" applyFill="1" applyBorder="1" applyAlignment="1">
      <alignment horizontal="center" vertical="center"/>
    </xf>
    <xf numFmtId="0" fontId="32" fillId="0" borderId="0" xfId="0" applyFont="1"/>
    <xf numFmtId="3" fontId="33" fillId="4"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16" fontId="0" fillId="0" borderId="1" xfId="0" quotePrefix="1" applyNumberFormat="1" applyBorder="1" applyAlignment="1">
      <alignment horizontal="center" vertical="center"/>
    </xf>
    <xf numFmtId="0" fontId="0" fillId="10" borderId="1" xfId="0" applyFill="1" applyBorder="1"/>
    <xf numFmtId="0" fontId="34" fillId="10" borderId="1" xfId="0" applyFont="1" applyFill="1" applyBorder="1"/>
    <xf numFmtId="0" fontId="8" fillId="0" borderId="5" xfId="2" applyFont="1" applyBorder="1" applyAlignment="1">
      <alignment horizontal="left" vertical="center" wrapText="1"/>
    </xf>
    <xf numFmtId="0" fontId="8" fillId="0" borderId="10" xfId="2" applyFont="1" applyBorder="1" applyAlignment="1">
      <alignment horizontal="left" vertical="center" wrapText="1"/>
    </xf>
    <xf numFmtId="0" fontId="8" fillId="0" borderId="14" xfId="2" applyFont="1" applyBorder="1" applyAlignment="1">
      <alignment horizontal="left" vertical="center" wrapText="1"/>
    </xf>
    <xf numFmtId="0" fontId="6" fillId="0" borderId="0" xfId="2"/>
    <xf numFmtId="0" fontId="36" fillId="0" borderId="1" xfId="2" applyFont="1" applyBorder="1" applyAlignment="1">
      <alignment horizontal="center" vertical="center" wrapText="1"/>
    </xf>
    <xf numFmtId="0" fontId="14" fillId="0" borderId="1" xfId="2" applyFont="1" applyBorder="1" applyAlignment="1">
      <alignment horizontal="center" vertical="center" wrapText="1"/>
    </xf>
    <xf numFmtId="0" fontId="14" fillId="0" borderId="1" xfId="2" applyFont="1" applyBorder="1" applyAlignment="1">
      <alignment horizontal="left" vertical="center" wrapText="1"/>
    </xf>
    <xf numFmtId="0" fontId="14" fillId="0" borderId="1" xfId="2" quotePrefix="1" applyFont="1" applyBorder="1" applyAlignment="1">
      <alignment horizontal="left" vertical="center" wrapText="1"/>
    </xf>
    <xf numFmtId="0" fontId="14" fillId="11" borderId="1" xfId="2" applyFont="1" applyFill="1" applyBorder="1" applyAlignment="1">
      <alignment horizontal="left" vertical="center" wrapText="1"/>
    </xf>
    <xf numFmtId="0" fontId="14" fillId="11" borderId="1" xfId="2" applyFont="1" applyFill="1" applyBorder="1" applyAlignment="1">
      <alignment horizontal="left" vertical="center"/>
    </xf>
    <xf numFmtId="0" fontId="6" fillId="0" borderId="0" xfId="2" applyAlignment="1">
      <alignment horizontal="center" vertical="center"/>
    </xf>
    <xf numFmtId="0" fontId="6" fillId="0" borderId="0" xfId="2" applyAlignment="1">
      <alignment horizontal="left" vertical="center"/>
    </xf>
    <xf numFmtId="0" fontId="14" fillId="4" borderId="1" xfId="2" applyFont="1" applyFill="1" applyBorder="1" applyAlignment="1">
      <alignment horizontal="left" vertical="center" wrapText="1"/>
    </xf>
    <xf numFmtId="0" fontId="14" fillId="0" borderId="1" xfId="2" applyFont="1" applyBorder="1" applyAlignment="1">
      <alignment horizontal="left" vertical="center"/>
    </xf>
    <xf numFmtId="0" fontId="14" fillId="4" borderId="1" xfId="2" quotePrefix="1" applyFont="1" applyFill="1" applyBorder="1" applyAlignment="1">
      <alignment horizontal="left" vertical="center" wrapText="1"/>
    </xf>
    <xf numFmtId="0" fontId="14" fillId="4" borderId="1" xfId="2" applyFont="1" applyFill="1" applyBorder="1" applyAlignment="1">
      <alignment horizontal="left" vertical="center"/>
    </xf>
    <xf numFmtId="0" fontId="38" fillId="0" borderId="1" xfId="2" applyFont="1" applyBorder="1" applyAlignment="1">
      <alignment horizontal="left" vertical="center" wrapText="1"/>
    </xf>
    <xf numFmtId="0" fontId="15" fillId="12" borderId="1" xfId="2" applyFont="1" applyFill="1" applyBorder="1" applyAlignment="1">
      <alignment horizontal="center" vertical="center" wrapText="1"/>
    </xf>
    <xf numFmtId="14" fontId="31" fillId="0" borderId="2" xfId="0" applyNumberFormat="1" applyFont="1" applyBorder="1" applyAlignment="1">
      <alignment horizontal="center" vertical="center"/>
    </xf>
    <xf numFmtId="0" fontId="31" fillId="0" borderId="2" xfId="0" applyFont="1" applyBorder="1" applyAlignment="1">
      <alignment horizontal="center" vertical="center"/>
    </xf>
    <xf numFmtId="3" fontId="31" fillId="0" borderId="2" xfId="0" applyNumberFormat="1" applyFont="1" applyBorder="1" applyAlignment="1">
      <alignment horizontal="center" vertical="center"/>
    </xf>
    <xf numFmtId="0" fontId="22" fillId="0" borderId="0" xfId="2" applyFont="1" applyAlignment="1">
      <alignment horizontal="center"/>
    </xf>
    <xf numFmtId="14" fontId="31" fillId="0" borderId="3" xfId="0" applyNumberFormat="1" applyFont="1" applyBorder="1" applyAlignment="1">
      <alignment horizontal="center" vertical="center"/>
    </xf>
    <xf numFmtId="3" fontId="31" fillId="0" borderId="3" xfId="0" applyNumberFormat="1" applyFont="1" applyBorder="1" applyAlignment="1">
      <alignment horizontal="center" vertical="center"/>
    </xf>
    <xf numFmtId="0" fontId="25" fillId="12" borderId="1" xfId="0" applyFont="1" applyFill="1" applyBorder="1" applyAlignment="1">
      <alignment horizontal="center" vertical="center" wrapText="1"/>
    </xf>
    <xf numFmtId="0" fontId="25" fillId="12" borderId="1" xfId="0" applyFont="1" applyFill="1" applyBorder="1" applyAlignment="1">
      <alignment horizontal="center" vertical="center"/>
    </xf>
    <xf numFmtId="14" fontId="25" fillId="12" borderId="1" xfId="0" applyNumberFormat="1" applyFont="1" applyFill="1" applyBorder="1" applyAlignment="1">
      <alignment horizontal="center" vertical="center"/>
    </xf>
    <xf numFmtId="3" fontId="25" fillId="12" borderId="1" xfId="0" applyNumberFormat="1" applyFont="1" applyFill="1" applyBorder="1" applyAlignment="1">
      <alignment horizontal="center" vertical="center"/>
    </xf>
    <xf numFmtId="0" fontId="40" fillId="6" borderId="1" xfId="0" applyFont="1" applyFill="1" applyBorder="1" applyAlignment="1">
      <alignment horizontal="center" vertical="center" wrapText="1"/>
    </xf>
    <xf numFmtId="0" fontId="41" fillId="0" borderId="0" xfId="0" applyFont="1"/>
    <xf numFmtId="0" fontId="26" fillId="0" borderId="1" xfId="0" applyFont="1" applyBorder="1" applyAlignment="1">
      <alignment horizontal="center"/>
    </xf>
    <xf numFmtId="0" fontId="21" fillId="0" borderId="1" xfId="0" applyFont="1" applyBorder="1" applyAlignment="1">
      <alignment horizontal="left"/>
    </xf>
    <xf numFmtId="0" fontId="26" fillId="0" borderId="1" xfId="0" applyFont="1" applyBorder="1"/>
    <xf numFmtId="0" fontId="42" fillId="0" borderId="1" xfId="0" applyFont="1" applyBorder="1" applyAlignment="1">
      <alignment horizontal="center"/>
    </xf>
    <xf numFmtId="0" fontId="26" fillId="0" borderId="1" xfId="0" applyFont="1" applyBorder="1" applyAlignment="1">
      <alignment horizontal="left"/>
    </xf>
    <xf numFmtId="0" fontId="24" fillId="0" borderId="1" xfId="0" applyFont="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14" fontId="28" fillId="0" borderId="1" xfId="2" applyNumberFormat="1" applyFont="1" applyBorder="1" applyAlignment="1">
      <alignment horizontal="center" vertical="center"/>
    </xf>
    <xf numFmtId="0" fontId="22" fillId="0" borderId="3" xfId="2" applyFont="1" applyBorder="1" applyAlignment="1">
      <alignment horizontal="center" vertical="center"/>
    </xf>
    <xf numFmtId="2" fontId="22" fillId="0" borderId="3" xfId="2" applyNumberFormat="1" applyFont="1" applyBorder="1" applyAlignment="1">
      <alignment horizontal="center" vertical="center"/>
    </xf>
    <xf numFmtId="0" fontId="44" fillId="0" borderId="0" xfId="3"/>
    <xf numFmtId="0" fontId="50" fillId="0" borderId="0" xfId="3" applyFont="1"/>
    <xf numFmtId="0" fontId="24" fillId="0" borderId="0" xfId="3" applyFont="1" applyAlignment="1">
      <alignment horizontal="right"/>
    </xf>
    <xf numFmtId="0" fontId="24" fillId="0" borderId="0" xfId="3" applyFont="1"/>
    <xf numFmtId="0" fontId="24" fillId="0" borderId="1" xfId="3" applyFont="1" applyBorder="1" applyAlignment="1">
      <alignment horizontal="center" vertical="center" wrapText="1"/>
    </xf>
    <xf numFmtId="0" fontId="24" fillId="0" borderId="1" xfId="3" quotePrefix="1" applyFont="1" applyBorder="1" applyAlignment="1">
      <alignment horizontal="center" vertical="center" wrapText="1"/>
    </xf>
    <xf numFmtId="0" fontId="24" fillId="0" borderId="1" xfId="3" applyFont="1" applyBorder="1" applyAlignment="1">
      <alignment horizontal="justify" vertical="center" wrapText="1"/>
    </xf>
    <xf numFmtId="0" fontId="14" fillId="0" borderId="1" xfId="3" applyFont="1" applyBorder="1" applyAlignment="1">
      <alignment horizontal="center" vertical="center" wrapText="1"/>
    </xf>
    <xf numFmtId="0" fontId="24" fillId="0" borderId="1" xfId="3" applyFont="1" applyBorder="1" applyAlignment="1">
      <alignment vertical="center" wrapText="1"/>
    </xf>
    <xf numFmtId="0" fontId="24" fillId="0" borderId="1" xfId="3" applyFont="1" applyBorder="1"/>
    <xf numFmtId="0" fontId="62" fillId="0" borderId="0" xfId="3" applyFont="1" applyAlignment="1">
      <alignment horizontal="justify" vertical="center" wrapText="1"/>
    </xf>
    <xf numFmtId="0" fontId="24" fillId="0" borderId="0" xfId="3" applyFont="1" applyAlignment="1">
      <alignment vertical="center"/>
    </xf>
    <xf numFmtId="0" fontId="63" fillId="0" borderId="0" xfId="3" applyFont="1" applyAlignment="1">
      <alignment horizontal="left" vertical="center"/>
    </xf>
    <xf numFmtId="0" fontId="65" fillId="0" borderId="0" xfId="3" applyFont="1"/>
    <xf numFmtId="0" fontId="23" fillId="0" borderId="0" xfId="3" applyFont="1" applyAlignment="1">
      <alignment horizontal="center" vertical="center"/>
    </xf>
    <xf numFmtId="0" fontId="44" fillId="0" borderId="0" xfId="4"/>
    <xf numFmtId="0" fontId="66" fillId="0" borderId="0" xfId="4" applyFont="1"/>
    <xf numFmtId="0" fontId="51" fillId="0" borderId="0" xfId="4" applyFont="1" applyAlignment="1">
      <alignment horizontal="left" vertical="center"/>
    </xf>
    <xf numFmtId="0" fontId="24" fillId="0" borderId="0" xfId="4" applyFont="1"/>
    <xf numFmtId="0" fontId="67" fillId="0" borderId="1" xfId="4" applyFont="1" applyBorder="1" applyAlignment="1">
      <alignment horizontal="center" vertical="center" wrapText="1" shrinkToFit="1"/>
    </xf>
    <xf numFmtId="0" fontId="66" fillId="0" borderId="0" xfId="3" applyFont="1"/>
    <xf numFmtId="0" fontId="26" fillId="0" borderId="0" xfId="3" applyFont="1" applyAlignment="1">
      <alignment vertical="center"/>
    </xf>
    <xf numFmtId="0" fontId="26" fillId="0" borderId="0" xfId="3" applyFont="1"/>
    <xf numFmtId="0" fontId="23" fillId="0" borderId="1" xfId="3" applyFont="1" applyBorder="1" applyAlignment="1">
      <alignment horizontal="center" vertical="top" wrapText="1"/>
    </xf>
    <xf numFmtId="0" fontId="26" fillId="0" borderId="0" xfId="3" applyFont="1" applyAlignment="1">
      <alignment horizontal="center" vertical="top"/>
    </xf>
    <xf numFmtId="0" fontId="25" fillId="0" borderId="1" xfId="3" applyFont="1" applyBorder="1" applyAlignment="1">
      <alignment horizontal="center" vertical="center" wrapText="1"/>
    </xf>
    <xf numFmtId="0" fontId="70" fillId="0" borderId="0" xfId="3" applyFont="1"/>
    <xf numFmtId="0" fontId="31" fillId="0" borderId="0" xfId="3" applyFont="1"/>
    <xf numFmtId="0" fontId="5" fillId="0" borderId="0" xfId="3" applyFont="1"/>
    <xf numFmtId="0" fontId="73" fillId="0" borderId="0" xfId="3" applyFont="1"/>
    <xf numFmtId="0" fontId="75" fillId="0" borderId="0" xfId="3" applyFont="1"/>
    <xf numFmtId="0" fontId="76" fillId="0" borderId="0" xfId="2" applyFont="1"/>
    <xf numFmtId="0" fontId="14" fillId="0" borderId="0" xfId="2" applyFont="1"/>
    <xf numFmtId="0" fontId="58" fillId="0" borderId="0" xfId="2" applyFont="1"/>
    <xf numFmtId="0" fontId="76" fillId="0" borderId="0" xfId="2" applyFont="1" applyAlignment="1">
      <alignment horizontal="center"/>
    </xf>
    <xf numFmtId="0" fontId="59" fillId="0" borderId="0" xfId="2" applyFont="1"/>
    <xf numFmtId="0" fontId="77" fillId="0" borderId="1" xfId="2" applyFont="1" applyBorder="1" applyAlignment="1">
      <alignment horizontal="center" vertical="center" wrapText="1"/>
    </xf>
    <xf numFmtId="0" fontId="77" fillId="0" borderId="0" xfId="2" applyFont="1" applyAlignment="1">
      <alignment vertical="top" wrapText="1"/>
    </xf>
    <xf numFmtId="0" fontId="76" fillId="0" borderId="1" xfId="2" applyFont="1" applyBorder="1" applyAlignment="1">
      <alignment horizontal="center"/>
    </xf>
    <xf numFmtId="0" fontId="76" fillId="0" borderId="23" xfId="2" applyFont="1" applyBorder="1" applyAlignment="1">
      <alignment horizontal="center"/>
    </xf>
    <xf numFmtId="0" fontId="77" fillId="0" borderId="0" xfId="2" applyFont="1"/>
    <xf numFmtId="0" fontId="36" fillId="0" borderId="0" xfId="2" applyFont="1" applyAlignment="1">
      <alignment horizontal="center"/>
    </xf>
    <xf numFmtId="0" fontId="58" fillId="0" borderId="0" xfId="2" applyFont="1" applyAlignment="1">
      <alignment horizontal="center"/>
    </xf>
    <xf numFmtId="0" fontId="14" fillId="0" borderId="0" xfId="2" applyFont="1" applyAlignment="1">
      <alignment horizontal="center" vertical="center"/>
    </xf>
    <xf numFmtId="0" fontId="66" fillId="0" borderId="0" xfId="2" applyFont="1"/>
    <xf numFmtId="0" fontId="14" fillId="0" borderId="0" xfId="2" applyFont="1" applyAlignment="1">
      <alignment horizontal="left" vertical="center"/>
    </xf>
    <xf numFmtId="0" fontId="14" fillId="0" borderId="0" xfId="2" applyFont="1" applyAlignment="1">
      <alignment horizontal="right" vertical="center" wrapText="1"/>
    </xf>
    <xf numFmtId="0" fontId="15" fillId="0" borderId="0" xfId="2" applyFont="1" applyAlignment="1">
      <alignment horizontal="center" vertical="top"/>
    </xf>
    <xf numFmtId="0" fontId="19" fillId="0" borderId="1" xfId="2" applyFont="1" applyBorder="1" applyAlignment="1">
      <alignment horizontal="center" vertical="center" wrapText="1"/>
    </xf>
    <xf numFmtId="0" fontId="82" fillId="0" borderId="0" xfId="2" applyFont="1"/>
    <xf numFmtId="166" fontId="26" fillId="0" borderId="1" xfId="2" applyNumberFormat="1" applyFont="1" applyBorder="1" applyAlignment="1">
      <alignment horizontal="center" vertical="center"/>
    </xf>
    <xf numFmtId="0" fontId="26" fillId="0" borderId="1" xfId="2" applyFont="1" applyBorder="1" applyAlignment="1">
      <alignment horizontal="center" vertical="center"/>
    </xf>
    <xf numFmtId="0" fontId="14" fillId="0" borderId="1" xfId="2" applyFont="1" applyBorder="1" applyAlignment="1">
      <alignment horizontal="center" vertical="center"/>
    </xf>
    <xf numFmtId="0" fontId="26" fillId="0" borderId="1" xfId="2" applyFont="1" applyBorder="1" applyAlignment="1">
      <alignment horizontal="center" vertical="center" wrapText="1"/>
    </xf>
    <xf numFmtId="0" fontId="26" fillId="0" borderId="0" xfId="2" applyFont="1"/>
    <xf numFmtId="167" fontId="66" fillId="0" borderId="0" xfId="2" applyNumberFormat="1" applyFont="1" applyAlignment="1">
      <alignment horizontal="left" vertical="center"/>
    </xf>
    <xf numFmtId="0" fontId="73" fillId="0" borderId="0" xfId="2" applyFont="1" applyAlignment="1">
      <alignment horizontal="left"/>
    </xf>
    <xf numFmtId="0" fontId="66" fillId="0" borderId="0" xfId="2" applyFont="1" applyAlignment="1">
      <alignment horizontal="left"/>
    </xf>
    <xf numFmtId="0" fontId="66" fillId="0" borderId="0" xfId="2" applyFont="1" applyAlignment="1">
      <alignment horizontal="center"/>
    </xf>
    <xf numFmtId="168" fontId="66" fillId="0" borderId="0" xfId="5" applyNumberFormat="1" applyFont="1"/>
    <xf numFmtId="0" fontId="66" fillId="0" borderId="0" xfId="2" applyFont="1" applyAlignment="1">
      <alignment horizontal="left" vertical="center"/>
    </xf>
    <xf numFmtId="167" fontId="21" fillId="0" borderId="1" xfId="2" applyNumberFormat="1" applyFont="1" applyBorder="1" applyAlignment="1">
      <alignment horizontal="center" vertical="center" wrapText="1"/>
    </xf>
    <xf numFmtId="0" fontId="21" fillId="0" borderId="2" xfId="2" applyFont="1" applyBorder="1" applyAlignment="1">
      <alignment horizontal="center" vertical="center" wrapText="1"/>
    </xf>
    <xf numFmtId="168" fontId="21" fillId="0" borderId="2" xfId="5" applyNumberFormat="1" applyFont="1" applyBorder="1" applyAlignment="1">
      <alignment horizontal="center" vertical="center" wrapText="1"/>
    </xf>
    <xf numFmtId="0" fontId="12" fillId="0" borderId="0" xfId="2" applyFont="1" applyAlignment="1">
      <alignment horizontal="center" vertical="center"/>
    </xf>
    <xf numFmtId="1" fontId="66" fillId="0" borderId="1" xfId="2" applyNumberFormat="1" applyFont="1" applyBorder="1" applyAlignment="1">
      <alignment horizontal="center" vertical="center"/>
    </xf>
    <xf numFmtId="0" fontId="66" fillId="0" borderId="1" xfId="2" applyFont="1" applyBorder="1" applyAlignment="1">
      <alignment horizontal="center" vertical="center"/>
    </xf>
    <xf numFmtId="0" fontId="66" fillId="0" borderId="1" xfId="2" applyFont="1" applyBorder="1" applyAlignment="1">
      <alignment horizontal="center" vertical="center" wrapText="1"/>
    </xf>
    <xf numFmtId="14" fontId="66" fillId="0" borderId="1" xfId="2" quotePrefix="1" applyNumberFormat="1" applyFont="1" applyBorder="1" applyAlignment="1">
      <alignment horizontal="center" vertical="center"/>
    </xf>
    <xf numFmtId="0" fontId="73" fillId="0" borderId="1" xfId="2" applyFont="1" applyBorder="1" applyAlignment="1">
      <alignment horizontal="center"/>
    </xf>
    <xf numFmtId="0" fontId="32" fillId="0" borderId="1" xfId="2" applyFont="1" applyBorder="1" applyAlignment="1">
      <alignment horizontal="center" vertical="center"/>
    </xf>
    <xf numFmtId="0" fontId="32" fillId="0" borderId="1" xfId="2" applyFont="1" applyBorder="1" applyAlignment="1">
      <alignment horizontal="center" vertical="center" wrapText="1"/>
    </xf>
    <xf numFmtId="14" fontId="32" fillId="0" borderId="1" xfId="5" quotePrefix="1" applyNumberFormat="1" applyFont="1" applyBorder="1" applyAlignment="1">
      <alignment horizontal="center" vertical="center" wrapText="1"/>
    </xf>
    <xf numFmtId="14" fontId="66" fillId="0" borderId="1" xfId="5" applyNumberFormat="1" applyFont="1" applyBorder="1" applyAlignment="1">
      <alignment horizontal="center" vertical="center" wrapText="1"/>
    </xf>
    <xf numFmtId="168" fontId="66" fillId="0" borderId="1" xfId="5" applyNumberFormat="1" applyFont="1" applyBorder="1" applyAlignment="1">
      <alignment horizontal="center" vertical="center"/>
    </xf>
    <xf numFmtId="14" fontId="66" fillId="0" borderId="1" xfId="2" applyNumberFormat="1" applyFont="1" applyBorder="1" applyAlignment="1">
      <alignment horizontal="center" vertical="center" wrapText="1"/>
    </xf>
    <xf numFmtId="0" fontId="66" fillId="0" borderId="0" xfId="6" applyFont="1"/>
    <xf numFmtId="0" fontId="43" fillId="0" borderId="0" xfId="6"/>
    <xf numFmtId="1" fontId="66" fillId="0" borderId="0" xfId="2" applyNumberFormat="1" applyFont="1"/>
    <xf numFmtId="0" fontId="66" fillId="0" borderId="0" xfId="2" applyFont="1" applyAlignment="1">
      <alignment horizontal="center" vertical="center"/>
    </xf>
    <xf numFmtId="0" fontId="73" fillId="0" borderId="0" xfId="2" applyFont="1" applyAlignment="1">
      <alignment horizontal="center"/>
    </xf>
    <xf numFmtId="0" fontId="66" fillId="0" borderId="0" xfId="2" applyFont="1" applyAlignment="1">
      <alignment vertical="center"/>
    </xf>
    <xf numFmtId="0" fontId="66" fillId="0" borderId="0" xfId="2" applyFont="1" applyAlignment="1">
      <alignment horizontal="center" wrapText="1"/>
    </xf>
    <xf numFmtId="14" fontId="66" fillId="0" borderId="0" xfId="2" applyNumberFormat="1" applyFont="1" applyAlignment="1">
      <alignment horizontal="center" vertical="center" wrapText="1"/>
    </xf>
    <xf numFmtId="0" fontId="26" fillId="0" borderId="0" xfId="6" applyFont="1"/>
    <xf numFmtId="0" fontId="66" fillId="0" borderId="0" xfId="6" applyFont="1" applyAlignment="1">
      <alignment horizontal="left" vertical="center"/>
    </xf>
    <xf numFmtId="0" fontId="26" fillId="0" borderId="0" xfId="6" applyFont="1" applyAlignment="1">
      <alignment horizontal="center"/>
    </xf>
    <xf numFmtId="0" fontId="87" fillId="0" borderId="0" xfId="6" applyFont="1" applyAlignment="1">
      <alignment horizontal="center" vertical="center"/>
    </xf>
    <xf numFmtId="0" fontId="14" fillId="0" borderId="0" xfId="6" applyFont="1" applyAlignment="1">
      <alignment horizontal="left" vertical="center" wrapText="1"/>
    </xf>
    <xf numFmtId="0" fontId="19" fillId="0" borderId="1" xfId="6" applyFont="1" applyBorder="1" applyAlignment="1">
      <alignment horizontal="center" vertical="center" wrapText="1"/>
    </xf>
    <xf numFmtId="166" fontId="26" fillId="0" borderId="1" xfId="6" applyNumberFormat="1" applyFont="1" applyBorder="1"/>
    <xf numFmtId="0" fontId="26" fillId="0" borderId="1" xfId="6" applyFont="1" applyBorder="1"/>
    <xf numFmtId="166" fontId="26" fillId="0" borderId="1" xfId="6" applyNumberFormat="1" applyFont="1" applyBorder="1" applyAlignment="1">
      <alignment horizontal="center"/>
    </xf>
    <xf numFmtId="3" fontId="26" fillId="0" borderId="1" xfId="6" applyNumberFormat="1" applyFont="1" applyBorder="1"/>
    <xf numFmtId="0" fontId="88" fillId="0" borderId="1" xfId="6" applyFont="1" applyBorder="1"/>
    <xf numFmtId="0" fontId="89" fillId="0" borderId="1" xfId="6" applyFont="1" applyBorder="1" applyAlignment="1">
      <alignment horizontal="center" vertical="center"/>
    </xf>
    <xf numFmtId="0" fontId="14" fillId="13" borderId="1" xfId="2" applyFont="1" applyFill="1" applyBorder="1" applyAlignment="1">
      <alignment horizontal="left" vertical="center" wrapText="1"/>
    </xf>
    <xf numFmtId="0" fontId="14" fillId="14" borderId="1" xfId="2" applyFont="1" applyFill="1" applyBorder="1" applyAlignment="1">
      <alignment horizontal="left" vertical="center" wrapText="1"/>
    </xf>
    <xf numFmtId="0" fontId="22" fillId="0" borderId="1" xfId="2" applyFont="1" applyBorder="1" applyAlignment="1">
      <alignment vertical="center"/>
    </xf>
    <xf numFmtId="165" fontId="22" fillId="0" borderId="1" xfId="2" applyNumberFormat="1" applyFont="1" applyBorder="1" applyAlignment="1">
      <alignment vertical="center"/>
    </xf>
    <xf numFmtId="0" fontId="24" fillId="0" borderId="1" xfId="0" applyFont="1" applyBorder="1" applyAlignment="1">
      <alignment horizontal="center" vertical="center" wrapText="1"/>
    </xf>
    <xf numFmtId="0" fontId="8" fillId="0" borderId="10" xfId="3" applyFont="1" applyBorder="1" applyAlignment="1">
      <alignment horizontal="left" vertical="center" wrapText="1"/>
    </xf>
    <xf numFmtId="0" fontId="8" fillId="0" borderId="5" xfId="3" applyFont="1" applyBorder="1" applyAlignment="1">
      <alignment horizontal="left" vertical="center" wrapText="1"/>
    </xf>
    <xf numFmtId="0" fontId="8" fillId="0" borderId="14" xfId="3" applyFont="1" applyBorder="1" applyAlignment="1">
      <alignment horizontal="left" vertical="center" wrapText="1"/>
    </xf>
    <xf numFmtId="0" fontId="0" fillId="0" borderId="1" xfId="0" applyBorder="1" applyAlignment="1">
      <alignment horizontal="left" vertical="top" wrapText="1"/>
    </xf>
    <xf numFmtId="0" fontId="66" fillId="0" borderId="0" xfId="3" applyFont="1" applyAlignment="1">
      <alignment vertical="center"/>
    </xf>
    <xf numFmtId="0" fontId="93" fillId="0" borderId="0" xfId="3" applyFont="1" applyAlignment="1">
      <alignment vertical="center"/>
    </xf>
    <xf numFmtId="0" fontId="44" fillId="0" borderId="0" xfId="3" applyAlignment="1">
      <alignment vertical="center"/>
    </xf>
    <xf numFmtId="0" fontId="94" fillId="0" borderId="1" xfId="3" applyFont="1" applyBorder="1" applyAlignment="1">
      <alignment horizontal="center" vertical="top" wrapText="1"/>
    </xf>
    <xf numFmtId="0" fontId="44" fillId="0" borderId="0" xfId="3" applyAlignment="1">
      <alignment horizontal="center" vertical="top"/>
    </xf>
    <xf numFmtId="0" fontId="96" fillId="0" borderId="1" xfId="3" applyFont="1" applyBorder="1" applyAlignment="1">
      <alignment horizontal="center" vertical="top" wrapText="1"/>
    </xf>
    <xf numFmtId="0" fontId="44" fillId="0" borderId="1" xfId="3" applyBorder="1"/>
    <xf numFmtId="0" fontId="98" fillId="0" borderId="0" xfId="3" applyFont="1"/>
    <xf numFmtId="0" fontId="14" fillId="0" borderId="0" xfId="3" applyFont="1" applyAlignment="1">
      <alignment vertical="center"/>
    </xf>
    <xf numFmtId="0" fontId="14" fillId="0" borderId="0" xfId="3" applyFont="1"/>
    <xf numFmtId="0" fontId="14" fillId="0" borderId="1" xfId="3" applyFont="1" applyBorder="1" applyAlignment="1">
      <alignment horizontal="center" vertical="top" wrapText="1"/>
    </xf>
    <xf numFmtId="0" fontId="14" fillId="0" borderId="0" xfId="3" applyFont="1" applyAlignment="1">
      <alignment horizontal="center" vertical="top"/>
    </xf>
    <xf numFmtId="0" fontId="76" fillId="0" borderId="3" xfId="3" applyFont="1" applyBorder="1" applyAlignment="1">
      <alignment horizontal="center" vertical="top" wrapText="1"/>
    </xf>
    <xf numFmtId="0" fontId="78" fillId="0" borderId="0" xfId="3" applyFont="1" applyAlignment="1">
      <alignment vertical="center"/>
    </xf>
    <xf numFmtId="0" fontId="12" fillId="0" borderId="0" xfId="3" applyFont="1"/>
    <xf numFmtId="3" fontId="12" fillId="0" borderId="0" xfId="3" applyNumberFormat="1" applyFont="1"/>
    <xf numFmtId="0" fontId="25" fillId="0" borderId="0" xfId="3" applyFont="1"/>
    <xf numFmtId="3" fontId="66" fillId="0" borderId="0" xfId="3" applyNumberFormat="1" applyFont="1"/>
    <xf numFmtId="0" fontId="101" fillId="0" borderId="0" xfId="3" applyFont="1"/>
    <xf numFmtId="3" fontId="66" fillId="0" borderId="0" xfId="3" quotePrefix="1" applyNumberFormat="1" applyFont="1" applyAlignment="1">
      <alignment vertical="center"/>
    </xf>
    <xf numFmtId="3" fontId="66" fillId="0" borderId="0" xfId="3" applyNumberFormat="1" applyFont="1" applyAlignment="1">
      <alignment vertical="center"/>
    </xf>
    <xf numFmtId="0" fontId="26" fillId="0" borderId="0" xfId="3" applyFont="1" applyAlignment="1">
      <alignment horizontal="center"/>
    </xf>
    <xf numFmtId="0" fontId="66" fillId="0" borderId="0" xfId="7" applyNumberFormat="1" applyFont="1" applyFill="1" applyAlignment="1">
      <alignment vertical="center"/>
    </xf>
    <xf numFmtId="43" fontId="21" fillId="0" borderId="0" xfId="7" applyFont="1" applyFill="1" applyAlignment="1"/>
    <xf numFmtId="0" fontId="66" fillId="0" borderId="0" xfId="3" applyFont="1" applyAlignment="1">
      <alignment horizontal="left" vertical="center"/>
    </xf>
    <xf numFmtId="14" fontId="66" fillId="0" borderId="0" xfId="3" quotePrefix="1" applyNumberFormat="1" applyFont="1" applyAlignment="1">
      <alignment horizontal="center" vertical="center"/>
    </xf>
    <xf numFmtId="14" fontId="66" fillId="0" borderId="0" xfId="3" applyNumberFormat="1" applyFont="1" applyAlignment="1">
      <alignment horizontal="center" vertical="center"/>
    </xf>
    <xf numFmtId="0" fontId="66" fillId="0" borderId="0" xfId="3" applyFont="1" applyAlignment="1">
      <alignment horizontal="left"/>
    </xf>
    <xf numFmtId="0" fontId="66" fillId="0" borderId="0" xfId="3" applyFont="1" applyAlignment="1">
      <alignment horizontal="center" vertical="center"/>
    </xf>
    <xf numFmtId="14" fontId="66" fillId="0" borderId="0" xfId="3" applyNumberFormat="1" applyFont="1" applyAlignment="1">
      <alignment vertical="center"/>
    </xf>
    <xf numFmtId="0" fontId="101" fillId="0" borderId="0" xfId="3" applyFont="1" applyAlignment="1">
      <alignment vertical="center"/>
    </xf>
    <xf numFmtId="165" fontId="66" fillId="0" borderId="0" xfId="3" applyNumberFormat="1" applyFont="1" applyAlignment="1">
      <alignment vertical="center"/>
    </xf>
    <xf numFmtId="0" fontId="14" fillId="0" borderId="0" xfId="3" applyFont="1" applyAlignment="1">
      <alignment horizontal="left" vertical="center"/>
    </xf>
    <xf numFmtId="0" fontId="83" fillId="0" borderId="0" xfId="3" applyFont="1" applyAlignment="1">
      <alignment horizontal="left" vertical="center"/>
    </xf>
    <xf numFmtId="0" fontId="83" fillId="0" borderId="0" xfId="3" applyFont="1"/>
    <xf numFmtId="0" fontId="66" fillId="0" borderId="0" xfId="3" applyFont="1" applyAlignment="1">
      <alignment horizontal="right"/>
    </xf>
    <xf numFmtId="3" fontId="66" fillId="0" borderId="0" xfId="3" applyNumberFormat="1" applyFont="1" applyAlignment="1">
      <alignment horizontal="center" vertical="center"/>
    </xf>
    <xf numFmtId="43" fontId="66" fillId="0" borderId="0" xfId="7" applyFont="1" applyFill="1" applyAlignment="1">
      <alignment vertical="center"/>
    </xf>
    <xf numFmtId="2" fontId="66" fillId="0" borderId="0" xfId="3" applyNumberFormat="1" applyFont="1" applyAlignment="1">
      <alignment vertical="center"/>
    </xf>
    <xf numFmtId="14" fontId="66" fillId="0" borderId="0" xfId="3" quotePrefix="1" applyNumberFormat="1" applyFont="1" applyAlignment="1">
      <alignment vertical="center"/>
    </xf>
    <xf numFmtId="0" fontId="66" fillId="0" borderId="0" xfId="3" quotePrefix="1" applyFont="1" applyAlignment="1">
      <alignment vertical="center"/>
    </xf>
    <xf numFmtId="168" fontId="66" fillId="0" borderId="0" xfId="7" applyNumberFormat="1" applyFont="1" applyFill="1" applyAlignment="1">
      <alignment vertical="center"/>
    </xf>
    <xf numFmtId="0" fontId="41" fillId="0" borderId="0" xfId="3" applyFont="1"/>
    <xf numFmtId="0" fontId="32" fillId="0" borderId="4" xfId="0" applyFont="1" applyBorder="1" applyAlignment="1">
      <alignment horizontal="left" vertical="center"/>
    </xf>
    <xf numFmtId="0" fontId="24" fillId="0" borderId="0" xfId="4" applyFont="1" applyAlignment="1">
      <alignment vertical="center"/>
    </xf>
    <xf numFmtId="0" fontId="62" fillId="0" borderId="26" xfId="4" applyFont="1" applyBorder="1"/>
    <xf numFmtId="0" fontId="91" fillId="0" borderId="0" xfId="3" applyFont="1" applyAlignment="1">
      <alignment vertical="center" wrapText="1"/>
    </xf>
    <xf numFmtId="0" fontId="104" fillId="0" borderId="1" xfId="3" applyFont="1" applyBorder="1" applyAlignment="1">
      <alignment horizontal="center" vertical="center"/>
    </xf>
    <xf numFmtId="0" fontId="105" fillId="0" borderId="19" xfId="3" applyFont="1" applyBorder="1" applyAlignment="1">
      <alignment horizontal="center" vertical="center"/>
    </xf>
    <xf numFmtId="0" fontId="105" fillId="0" borderId="1" xfId="3" applyFont="1" applyBorder="1" applyAlignment="1">
      <alignment horizontal="left" vertical="center"/>
    </xf>
    <xf numFmtId="0" fontId="105" fillId="0" borderId="1" xfId="3" quotePrefix="1" applyFont="1" applyBorder="1" applyAlignment="1">
      <alignment horizontal="center" vertical="center"/>
    </xf>
    <xf numFmtId="0" fontId="105" fillId="4" borderId="1" xfId="3" quotePrefix="1" applyFont="1" applyFill="1" applyBorder="1" applyAlignment="1">
      <alignment horizontal="center" vertical="center"/>
    </xf>
    <xf numFmtId="0" fontId="25" fillId="0" borderId="0" xfId="3" applyFont="1" applyAlignment="1">
      <alignment horizontal="center" vertical="center"/>
    </xf>
    <xf numFmtId="0" fontId="25" fillId="0" borderId="0" xfId="3" applyFont="1" applyAlignment="1">
      <alignment horizontal="center"/>
    </xf>
    <xf numFmtId="0" fontId="25" fillId="0" borderId="0" xfId="3" applyFont="1" applyAlignment="1">
      <alignment vertical="center"/>
    </xf>
    <xf numFmtId="168" fontId="66" fillId="0" borderId="0" xfId="7" applyNumberFormat="1" applyFont="1" applyFill="1" applyAlignment="1">
      <alignment horizontal="center" vertical="center"/>
    </xf>
    <xf numFmtId="0" fontId="44" fillId="0" borderId="5" xfId="3" applyBorder="1" applyAlignment="1">
      <alignment horizontal="center" vertical="center"/>
    </xf>
    <xf numFmtId="0" fontId="44" fillId="0" borderId="10" xfId="3" applyBorder="1" applyAlignment="1">
      <alignment horizontal="center" vertical="center"/>
    </xf>
    <xf numFmtId="0" fontId="44" fillId="0" borderId="14" xfId="3" applyBorder="1" applyAlignment="1">
      <alignment horizontal="center" vertical="center"/>
    </xf>
    <xf numFmtId="0" fontId="45" fillId="0" borderId="6" xfId="3" applyFont="1" applyBorder="1" applyAlignment="1">
      <alignment horizontal="center" vertical="center" wrapText="1"/>
    </xf>
    <xf numFmtId="0" fontId="45" fillId="0" borderId="11" xfId="3" applyFont="1" applyBorder="1" applyAlignment="1">
      <alignment horizontal="center" vertical="center" wrapText="1"/>
    </xf>
    <xf numFmtId="0" fontId="45" fillId="0" borderId="15" xfId="3" applyFont="1" applyBorder="1" applyAlignment="1">
      <alignment horizontal="center" vertical="center" wrapText="1"/>
    </xf>
    <xf numFmtId="0" fontId="46" fillId="0" borderId="5" xfId="3" applyFont="1" applyBorder="1" applyAlignment="1">
      <alignment horizontal="left" vertical="center" wrapText="1"/>
    </xf>
    <xf numFmtId="0" fontId="8" fillId="0" borderId="10" xfId="3" applyFont="1" applyBorder="1" applyAlignment="1">
      <alignment horizontal="left" vertical="center" wrapText="1"/>
    </xf>
    <xf numFmtId="0" fontId="8" fillId="0" borderId="14" xfId="3" applyFont="1" applyBorder="1" applyAlignment="1">
      <alignment horizontal="left" vertical="center" wrapText="1"/>
    </xf>
    <xf numFmtId="0" fontId="78" fillId="0" borderId="0" xfId="3" applyFont="1" applyAlignment="1">
      <alignment horizontal="left" vertical="center" wrapText="1"/>
    </xf>
    <xf numFmtId="0" fontId="8" fillId="0" borderId="5" xfId="2" applyFont="1" applyBorder="1" applyAlignment="1">
      <alignment horizontal="left" vertical="center" wrapText="1"/>
    </xf>
    <xf numFmtId="0" fontId="8" fillId="0" borderId="10" xfId="2" applyFont="1" applyBorder="1" applyAlignment="1">
      <alignment horizontal="left" vertical="center" wrapText="1"/>
    </xf>
    <xf numFmtId="0" fontId="8" fillId="0" borderId="14" xfId="2" applyFont="1" applyBorder="1" applyAlignment="1">
      <alignment horizontal="left" vertical="center" wrapText="1"/>
    </xf>
    <xf numFmtId="0" fontId="12" fillId="0" borderId="5" xfId="2" applyFont="1" applyBorder="1" applyAlignment="1">
      <alignment horizontal="center" vertical="center"/>
    </xf>
    <xf numFmtId="0" fontId="12" fillId="0" borderId="10" xfId="2" applyFont="1" applyBorder="1" applyAlignment="1">
      <alignment horizontal="center" vertical="center"/>
    </xf>
    <xf numFmtId="0" fontId="12" fillId="0" borderId="14" xfId="2" applyFont="1" applyBorder="1" applyAlignment="1">
      <alignment horizontal="center" vertical="center"/>
    </xf>
    <xf numFmtId="0" fontId="30" fillId="0" borderId="5" xfId="2" applyFont="1" applyBorder="1" applyAlignment="1">
      <alignment horizontal="center" vertical="center" wrapText="1"/>
    </xf>
    <xf numFmtId="0" fontId="30" fillId="0" borderId="10" xfId="2" applyFont="1" applyBorder="1" applyAlignment="1">
      <alignment horizontal="center" vertical="center" wrapText="1"/>
    </xf>
    <xf numFmtId="0" fontId="30" fillId="0" borderId="14" xfId="2" applyFont="1" applyBorder="1" applyAlignment="1">
      <alignment horizontal="center" vertical="center" wrapText="1"/>
    </xf>
    <xf numFmtId="0" fontId="12" fillId="0" borderId="6" xfId="2" applyFont="1" applyBorder="1" applyAlignment="1">
      <alignment horizontal="center" vertical="center"/>
    </xf>
    <xf numFmtId="0" fontId="12" fillId="0" borderId="11" xfId="2" applyFont="1" applyBorder="1" applyAlignment="1">
      <alignment horizontal="center" vertical="center"/>
    </xf>
    <xf numFmtId="0" fontId="12" fillId="0" borderId="15" xfId="2" applyFont="1" applyBorder="1" applyAlignment="1">
      <alignment horizontal="center" vertical="center"/>
    </xf>
    <xf numFmtId="0" fontId="30" fillId="0" borderId="7" xfId="2" applyFont="1" applyBorder="1" applyAlignment="1">
      <alignment horizontal="center" vertical="center" wrapText="1"/>
    </xf>
    <xf numFmtId="0" fontId="30" fillId="0" borderId="8" xfId="2" applyFont="1" applyBorder="1" applyAlignment="1">
      <alignment horizontal="center" vertical="center" wrapText="1"/>
    </xf>
    <xf numFmtId="0" fontId="30" fillId="0" borderId="9" xfId="2" applyFont="1" applyBorder="1" applyAlignment="1">
      <alignment horizontal="center" vertical="center" wrapText="1"/>
    </xf>
    <xf numFmtId="0" fontId="30" fillId="0" borderId="12" xfId="2" applyFont="1" applyBorder="1" applyAlignment="1">
      <alignment horizontal="center" vertical="center" wrapText="1"/>
    </xf>
    <xf numFmtId="0" fontId="30" fillId="0" borderId="0" xfId="2" applyFont="1" applyAlignment="1">
      <alignment horizontal="center" vertical="center" wrapText="1"/>
    </xf>
    <xf numFmtId="0" fontId="30" fillId="0" borderId="13" xfId="2" applyFont="1" applyBorder="1" applyAlignment="1">
      <alignment horizontal="center" vertical="center" wrapText="1"/>
    </xf>
    <xf numFmtId="0" fontId="30" fillId="0" borderId="16" xfId="2" applyFont="1" applyBorder="1" applyAlignment="1">
      <alignment horizontal="center" vertical="center" wrapText="1"/>
    </xf>
    <xf numFmtId="0" fontId="30" fillId="0" borderId="17" xfId="2" applyFont="1" applyBorder="1" applyAlignment="1">
      <alignment horizontal="center" vertical="center" wrapText="1"/>
    </xf>
    <xf numFmtId="0" fontId="30" fillId="0" borderId="18" xfId="2" applyFont="1" applyBorder="1" applyAlignment="1">
      <alignment horizontal="center" vertical="center" wrapText="1"/>
    </xf>
    <xf numFmtId="0" fontId="15" fillId="0" borderId="1" xfId="2" applyFont="1" applyBorder="1" applyAlignment="1">
      <alignment horizontal="center" vertical="center" wrapText="1"/>
    </xf>
    <xf numFmtId="0" fontId="15" fillId="7" borderId="1" xfId="2" applyFont="1" applyFill="1" applyBorder="1" applyAlignment="1">
      <alignment horizontal="center" vertical="center" wrapText="1"/>
    </xf>
    <xf numFmtId="0" fontId="15" fillId="0" borderId="1" xfId="2" applyFont="1" applyBorder="1" applyAlignment="1">
      <alignment horizontal="center" vertical="center" textRotation="90" wrapText="1"/>
    </xf>
    <xf numFmtId="1" fontId="19" fillId="0" borderId="19" xfId="2" applyNumberFormat="1" applyFont="1" applyBorder="1" applyAlignment="1">
      <alignment horizontal="left" vertical="center" wrapText="1"/>
    </xf>
    <xf numFmtId="1" fontId="19" fillId="0" borderId="20" xfId="2" applyNumberFormat="1" applyFont="1" applyBorder="1" applyAlignment="1">
      <alignment horizontal="left" vertical="center" wrapText="1"/>
    </xf>
    <xf numFmtId="1" fontId="19" fillId="0" borderId="21" xfId="2" applyNumberFormat="1" applyFont="1" applyBorder="1" applyAlignment="1">
      <alignment horizontal="left" vertical="center" wrapText="1"/>
    </xf>
    <xf numFmtId="0" fontId="19" fillId="3" borderId="22" xfId="2" applyFont="1" applyFill="1" applyBorder="1" applyAlignment="1">
      <alignment horizontal="left" vertical="top" wrapText="1"/>
    </xf>
    <xf numFmtId="0" fontId="19" fillId="3" borderId="23" xfId="2" applyFont="1" applyFill="1" applyBorder="1" applyAlignment="1">
      <alignment horizontal="left" vertical="top"/>
    </xf>
    <xf numFmtId="0" fontId="19" fillId="3" borderId="24" xfId="2" applyFont="1" applyFill="1" applyBorder="1" applyAlignment="1">
      <alignment horizontal="left" vertical="top"/>
    </xf>
    <xf numFmtId="0" fontId="19" fillId="3" borderId="25" xfId="2" applyFont="1" applyFill="1" applyBorder="1" applyAlignment="1">
      <alignment horizontal="left" vertical="top"/>
    </xf>
    <xf numFmtId="0" fontId="19" fillId="3" borderId="26" xfId="2" applyFont="1" applyFill="1" applyBorder="1" applyAlignment="1">
      <alignment horizontal="left" vertical="top"/>
    </xf>
    <xf numFmtId="0" fontId="19" fillId="3" borderId="27" xfId="2" applyFont="1" applyFill="1" applyBorder="1" applyAlignment="1">
      <alignment horizontal="left" vertical="top"/>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2" xfId="0" applyFont="1" applyBorder="1" applyAlignment="1">
      <alignment horizontal="center" vertical="center" wrapText="1"/>
    </xf>
    <xf numFmtId="0" fontId="15" fillId="9" borderId="1" xfId="2" applyFont="1" applyFill="1" applyBorder="1" applyAlignment="1">
      <alignment horizontal="center" vertical="center" textRotation="89" wrapText="1"/>
    </xf>
    <xf numFmtId="0" fontId="15" fillId="8" borderId="1" xfId="2" applyFont="1" applyFill="1" applyBorder="1" applyAlignment="1">
      <alignment horizontal="center" vertical="center" textRotation="90" wrapText="1"/>
    </xf>
    <xf numFmtId="0" fontId="15" fillId="13" borderId="1" xfId="2" applyFont="1" applyFill="1" applyBorder="1" applyAlignment="1">
      <alignment horizontal="center" vertical="center" wrapText="1"/>
    </xf>
    <xf numFmtId="0" fontId="31" fillId="0" borderId="3" xfId="0" applyFont="1" applyBorder="1" applyAlignment="1">
      <alignment horizontal="center" vertical="center" wrapText="1"/>
    </xf>
    <xf numFmtId="14" fontId="31" fillId="0" borderId="2" xfId="0" applyNumberFormat="1" applyFont="1" applyBorder="1" applyAlignment="1">
      <alignment horizontal="center" vertical="center"/>
    </xf>
    <xf numFmtId="14" fontId="31" fillId="0" borderId="3" xfId="0" applyNumberFormat="1" applyFont="1" applyBorder="1" applyAlignment="1">
      <alignment horizontal="center" vertical="center"/>
    </xf>
    <xf numFmtId="3" fontId="31" fillId="0" borderId="2" xfId="0" applyNumberFormat="1" applyFont="1" applyBorder="1" applyAlignment="1">
      <alignment horizontal="center" vertical="center"/>
    </xf>
    <xf numFmtId="3" fontId="31" fillId="0" borderId="3" xfId="0" applyNumberFormat="1" applyFont="1" applyBorder="1" applyAlignment="1">
      <alignment horizontal="center" vertical="center"/>
    </xf>
    <xf numFmtId="164" fontId="31" fillId="0" borderId="2" xfId="0" applyNumberFormat="1" applyFont="1" applyBorder="1" applyAlignment="1">
      <alignment horizontal="center" vertical="center"/>
    </xf>
    <xf numFmtId="164" fontId="31" fillId="0" borderId="3" xfId="0" applyNumberFormat="1" applyFont="1" applyBorder="1" applyAlignment="1">
      <alignment horizontal="center" vertical="center"/>
    </xf>
    <xf numFmtId="0" fontId="26" fillId="0" borderId="2" xfId="0" applyFont="1" applyBorder="1" applyAlignment="1">
      <alignment horizontal="center" vertical="center" wrapText="1"/>
    </xf>
    <xf numFmtId="0" fontId="26" fillId="0" borderId="3" xfId="0" applyFont="1" applyBorder="1" applyAlignment="1">
      <alignment horizontal="center" vertical="center"/>
    </xf>
    <xf numFmtId="0" fontId="26" fillId="0" borderId="3" xfId="0" applyFont="1" applyBorder="1" applyAlignment="1">
      <alignment horizontal="center" vertical="center" wrapText="1"/>
    </xf>
    <xf numFmtId="0" fontId="26" fillId="0" borderId="2" xfId="0" applyFont="1" applyBorder="1" applyAlignment="1">
      <alignment horizontal="center" vertical="center"/>
    </xf>
    <xf numFmtId="164" fontId="26" fillId="0" borderId="2" xfId="0" applyNumberFormat="1" applyFont="1" applyBorder="1" applyAlignment="1">
      <alignment horizontal="center" vertical="center"/>
    </xf>
    <xf numFmtId="164" fontId="26" fillId="0" borderId="3" xfId="0" applyNumberFormat="1" applyFont="1" applyBorder="1" applyAlignment="1">
      <alignment horizontal="center" vertical="center"/>
    </xf>
    <xf numFmtId="3" fontId="26" fillId="0" borderId="2" xfId="0" applyNumberFormat="1" applyFont="1" applyBorder="1" applyAlignment="1">
      <alignment horizontal="center" vertical="center"/>
    </xf>
    <xf numFmtId="3" fontId="26" fillId="0" borderId="3" xfId="0" applyNumberFormat="1" applyFont="1" applyBorder="1" applyAlignment="1">
      <alignment horizontal="center" vertical="center"/>
    </xf>
    <xf numFmtId="0" fontId="15" fillId="8" borderId="23" xfId="2" applyFont="1" applyFill="1" applyBorder="1" applyAlignment="1">
      <alignment horizontal="center" vertical="center" wrapText="1"/>
    </xf>
    <xf numFmtId="0" fontId="15" fillId="8" borderId="0" xfId="2" applyFont="1" applyFill="1" applyAlignment="1">
      <alignment horizontal="center" vertical="center" wrapText="1"/>
    </xf>
    <xf numFmtId="0" fontId="15" fillId="9" borderId="23" xfId="2" applyFont="1" applyFill="1" applyBorder="1" applyAlignment="1">
      <alignment horizontal="center" vertical="center" wrapText="1"/>
    </xf>
    <xf numFmtId="0" fontId="15" fillId="9" borderId="0" xfId="2" applyFont="1" applyFill="1" applyAlignment="1">
      <alignment horizontal="center" vertical="center" wrapText="1"/>
    </xf>
    <xf numFmtId="0" fontId="19" fillId="3" borderId="30" xfId="2" applyFont="1" applyFill="1" applyBorder="1" applyAlignment="1">
      <alignment horizontal="left" vertical="top" wrapText="1"/>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15" fillId="6" borderId="30" xfId="2" applyFont="1" applyFill="1" applyBorder="1" applyAlignment="1">
      <alignment horizontal="center" vertical="center" textRotation="90" wrapText="1"/>
    </xf>
    <xf numFmtId="0" fontId="15" fillId="6" borderId="0" xfId="2" applyFont="1" applyFill="1" applyAlignment="1">
      <alignment horizontal="center" vertical="center" textRotation="90" wrapText="1"/>
    </xf>
    <xf numFmtId="0" fontId="15" fillId="7" borderId="23" xfId="2" applyFont="1" applyFill="1" applyBorder="1" applyAlignment="1">
      <alignment horizontal="center" vertical="center" wrapText="1"/>
    </xf>
    <xf numFmtId="0" fontId="15" fillId="7" borderId="0" xfId="2" applyFont="1" applyFill="1" applyAlignment="1">
      <alignment horizontal="center" vertical="center" wrapText="1"/>
    </xf>
    <xf numFmtId="0" fontId="26" fillId="4" borderId="2" xfId="0" applyFont="1" applyFill="1" applyBorder="1" applyAlignment="1">
      <alignment horizontal="center" vertical="center"/>
    </xf>
    <xf numFmtId="0" fontId="26" fillId="4" borderId="3" xfId="0" applyFont="1" applyFill="1" applyBorder="1" applyAlignment="1">
      <alignment horizontal="center" vertical="center"/>
    </xf>
    <xf numFmtId="0" fontId="22" fillId="0" borderId="19" xfId="2" applyFont="1" applyBorder="1" applyAlignment="1">
      <alignment horizontal="center" vertical="center"/>
    </xf>
    <xf numFmtId="0" fontId="22" fillId="0" borderId="20" xfId="2" applyFont="1" applyBorder="1" applyAlignment="1">
      <alignment horizontal="center" vertical="center"/>
    </xf>
    <xf numFmtId="0" fontId="22" fillId="0" borderId="21" xfId="2" applyFont="1" applyBorder="1" applyAlignment="1">
      <alignment horizontal="center" vertical="center"/>
    </xf>
    <xf numFmtId="14" fontId="26" fillId="0" borderId="2" xfId="0" applyNumberFormat="1" applyFont="1" applyBorder="1" applyAlignment="1">
      <alignment horizontal="center" vertical="center"/>
    </xf>
    <xf numFmtId="14" fontId="26" fillId="0" borderId="3" xfId="0" applyNumberFormat="1" applyFont="1" applyBorder="1" applyAlignment="1">
      <alignment horizontal="center" vertical="center"/>
    </xf>
    <xf numFmtId="0" fontId="90" fillId="0" borderId="17" xfId="0" applyFont="1" applyBorder="1" applyAlignment="1">
      <alignment horizontal="center" vertical="center"/>
    </xf>
    <xf numFmtId="0" fontId="35" fillId="0" borderId="26" xfId="2" applyFont="1" applyBorder="1" applyAlignment="1">
      <alignment horizontal="center" vertical="center"/>
    </xf>
    <xf numFmtId="0" fontId="91" fillId="0" borderId="19" xfId="3" applyFont="1" applyBorder="1" applyAlignment="1">
      <alignment horizontal="center" vertical="center" wrapText="1"/>
    </xf>
    <xf numFmtId="0" fontId="91" fillId="0" borderId="20" xfId="3" applyFont="1" applyBorder="1" applyAlignment="1">
      <alignment horizontal="center" vertical="center" wrapText="1"/>
    </xf>
    <xf numFmtId="0" fontId="25" fillId="0" borderId="0" xfId="3" applyFont="1" applyAlignment="1">
      <alignment horizontal="left" vertical="center"/>
    </xf>
    <xf numFmtId="0" fontId="91" fillId="0" borderId="26" xfId="0" applyFont="1" applyBorder="1" applyAlignment="1">
      <alignment horizontal="center" vertical="center"/>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2" fillId="0" borderId="30" xfId="0" applyFont="1"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10" borderId="2" xfId="0" applyFill="1" applyBorder="1" applyAlignment="1">
      <alignment horizontal="left" vertical="center"/>
    </xf>
    <xf numFmtId="0" fontId="0" fillId="10" borderId="4" xfId="0" applyFill="1" applyBorder="1" applyAlignment="1">
      <alignment horizontal="left" vertical="center"/>
    </xf>
    <xf numFmtId="0" fontId="0" fillId="10" borderId="3" xfId="0" applyFill="1" applyBorder="1" applyAlignment="1">
      <alignment horizontal="left" vertical="center"/>
    </xf>
    <xf numFmtId="0" fontId="24" fillId="0" borderId="19" xfId="3" quotePrefix="1" applyFont="1" applyBorder="1" applyAlignment="1">
      <alignment horizontal="center" vertical="center" wrapText="1"/>
    </xf>
    <xf numFmtId="0" fontId="24" fillId="0" borderId="21" xfId="3" quotePrefix="1" applyFont="1" applyBorder="1" applyAlignment="1">
      <alignment horizontal="center" vertical="center" wrapText="1"/>
    </xf>
    <xf numFmtId="0" fontId="44" fillId="0" borderId="7" xfId="3" applyBorder="1" applyAlignment="1">
      <alignment horizontal="center" vertical="center"/>
    </xf>
    <xf numFmtId="0" fontId="44" fillId="0" borderId="9" xfId="3" applyBorder="1" applyAlignment="1">
      <alignment horizontal="center" vertical="center"/>
    </xf>
    <xf numFmtId="0" fontId="44" fillId="0" borderId="12" xfId="3" applyBorder="1" applyAlignment="1">
      <alignment horizontal="center" vertical="center"/>
    </xf>
    <xf numFmtId="0" fontId="44" fillId="0" borderId="13" xfId="3" applyBorder="1" applyAlignment="1">
      <alignment horizontal="center" vertical="center"/>
    </xf>
    <xf numFmtId="0" fontId="44" fillId="0" borderId="16" xfId="3" applyBorder="1" applyAlignment="1">
      <alignment horizontal="center" vertical="center"/>
    </xf>
    <xf numFmtId="0" fontId="44" fillId="0" borderId="18" xfId="3" applyBorder="1" applyAlignment="1">
      <alignment horizontal="center" vertical="center"/>
    </xf>
    <xf numFmtId="0" fontId="45" fillId="0" borderId="7" xfId="3" applyFont="1" applyBorder="1" applyAlignment="1">
      <alignment horizontal="center" vertical="center" wrapText="1"/>
    </xf>
    <xf numFmtId="0" fontId="45" fillId="0" borderId="8" xfId="3" applyFont="1" applyBorder="1" applyAlignment="1">
      <alignment horizontal="center" vertical="center" wrapText="1"/>
    </xf>
    <xf numFmtId="0" fontId="45" fillId="0" borderId="9" xfId="3" applyFont="1" applyBorder="1" applyAlignment="1">
      <alignment horizontal="center" vertical="center" wrapText="1"/>
    </xf>
    <xf numFmtId="0" fontId="45" fillId="0" borderId="12" xfId="3" applyFont="1" applyBorder="1" applyAlignment="1">
      <alignment horizontal="center" vertical="center" wrapText="1"/>
    </xf>
    <xf numFmtId="0" fontId="45" fillId="0" borderId="0" xfId="3" applyFont="1" applyAlignment="1">
      <alignment horizontal="center" vertical="center" wrapText="1"/>
    </xf>
    <xf numFmtId="0" fontId="45" fillId="0" borderId="13" xfId="3" applyFont="1" applyBorder="1" applyAlignment="1">
      <alignment horizontal="center" vertical="center" wrapText="1"/>
    </xf>
    <xf numFmtId="0" fontId="45" fillId="0" borderId="16" xfId="3" applyFont="1" applyBorder="1" applyAlignment="1">
      <alignment horizontal="center" vertical="center" wrapText="1"/>
    </xf>
    <xf numFmtId="0" fontId="45" fillId="0" borderId="17" xfId="3" applyFont="1" applyBorder="1" applyAlignment="1">
      <alignment horizontal="center" vertical="center" wrapText="1"/>
    </xf>
    <xf numFmtId="0" fontId="45" fillId="0" borderId="18" xfId="3" applyFont="1" applyBorder="1" applyAlignment="1">
      <alignment horizontal="center" vertical="center" wrapText="1"/>
    </xf>
    <xf numFmtId="0" fontId="46" fillId="0" borderId="14" xfId="3" applyFont="1" applyBorder="1" applyAlignment="1">
      <alignment horizontal="left" vertical="center" wrapText="1"/>
    </xf>
    <xf numFmtId="0" fontId="51" fillId="0" borderId="0" xfId="3" applyFont="1" applyAlignment="1">
      <alignment horizontal="left" vertical="center" wrapText="1"/>
    </xf>
    <xf numFmtId="0" fontId="24" fillId="0" borderId="0" xfId="3" applyFont="1" applyAlignment="1">
      <alignment horizontal="left" vertical="center" wrapText="1"/>
    </xf>
    <xf numFmtId="0" fontId="24" fillId="0" borderId="26" xfId="3" applyFont="1" applyBorder="1" applyAlignment="1">
      <alignment horizontal="left" vertical="center"/>
    </xf>
    <xf numFmtId="0" fontId="24" fillId="0" borderId="19" xfId="3" applyFont="1" applyBorder="1" applyAlignment="1">
      <alignment horizontal="center" vertical="center" wrapText="1"/>
    </xf>
    <xf numFmtId="0" fontId="24" fillId="0" borderId="21" xfId="3" applyFont="1" applyBorder="1" applyAlignment="1">
      <alignment horizontal="center" vertical="center" wrapText="1"/>
    </xf>
    <xf numFmtId="0" fontId="24" fillId="0" borderId="23" xfId="3" applyFont="1" applyBorder="1" applyAlignment="1">
      <alignment horizontal="left" vertical="center" wrapText="1"/>
    </xf>
    <xf numFmtId="0" fontId="24" fillId="0" borderId="23" xfId="3" applyFont="1" applyBorder="1" applyAlignment="1">
      <alignment horizontal="left" vertical="center"/>
    </xf>
    <xf numFmtId="0" fontId="23" fillId="0" borderId="19" xfId="3" applyFont="1" applyBorder="1" applyAlignment="1">
      <alignment horizontal="center" vertical="center" wrapText="1"/>
    </xf>
    <xf numFmtId="0" fontId="23" fillId="0" borderId="20" xfId="3" applyFont="1" applyBorder="1" applyAlignment="1">
      <alignment horizontal="center" vertical="center" wrapText="1"/>
    </xf>
    <xf numFmtId="0" fontId="23" fillId="0" borderId="21" xfId="3" applyFont="1" applyBorder="1" applyAlignment="1">
      <alignment horizontal="center" vertical="center" wrapText="1"/>
    </xf>
    <xf numFmtId="0" fontId="14" fillId="0" borderId="19" xfId="3" applyFont="1" applyBorder="1" applyAlignment="1">
      <alignment horizontal="center" vertical="center" wrapText="1"/>
    </xf>
    <xf numFmtId="0" fontId="14" fillId="0" borderId="21" xfId="3" applyFont="1" applyBorder="1" applyAlignment="1">
      <alignment horizontal="center" vertical="center" wrapText="1"/>
    </xf>
    <xf numFmtId="0" fontId="59" fillId="0" borderId="0" xfId="3" applyFont="1" applyAlignment="1">
      <alignment horizontal="left" wrapText="1"/>
    </xf>
    <xf numFmtId="0" fontId="24" fillId="0" borderId="0" xfId="3" applyFont="1" applyAlignment="1">
      <alignment horizontal="center" vertical="center"/>
    </xf>
    <xf numFmtId="0" fontId="24" fillId="0" borderId="0" xfId="3" applyFont="1" applyAlignment="1">
      <alignment horizontal="center"/>
    </xf>
    <xf numFmtId="0" fontId="24" fillId="0" borderId="0" xfId="3" applyFont="1" applyAlignment="1">
      <alignment horizontal="center" vertical="center" wrapText="1"/>
    </xf>
    <xf numFmtId="0" fontId="23" fillId="0" borderId="0" xfId="3" applyFont="1" applyAlignment="1">
      <alignment horizontal="center"/>
    </xf>
    <xf numFmtId="0" fontId="19" fillId="0" borderId="1" xfId="6" applyFont="1" applyBorder="1" applyAlignment="1">
      <alignment horizontal="center" vertical="center" wrapText="1"/>
    </xf>
    <xf numFmtId="0" fontId="43" fillId="0" borderId="7" xfId="6" applyBorder="1" applyAlignment="1">
      <alignment horizontal="center" vertical="center"/>
    </xf>
    <xf numFmtId="0" fontId="43" fillId="0" borderId="9" xfId="6" applyBorder="1" applyAlignment="1">
      <alignment horizontal="center" vertical="center"/>
    </xf>
    <xf numFmtId="0" fontId="43" fillId="0" borderId="12" xfId="6" applyBorder="1" applyAlignment="1">
      <alignment horizontal="center" vertical="center"/>
    </xf>
    <xf numFmtId="0" fontId="43" fillId="0" borderId="13" xfId="6" applyBorder="1" applyAlignment="1">
      <alignment horizontal="center" vertical="center"/>
    </xf>
    <xf numFmtId="0" fontId="43" fillId="0" borderId="16" xfId="6" applyBorder="1" applyAlignment="1">
      <alignment horizontal="center" vertical="center"/>
    </xf>
    <xf numFmtId="0" fontId="43" fillId="0" borderId="18" xfId="6" applyBorder="1" applyAlignment="1">
      <alignment horizontal="center" vertical="center"/>
    </xf>
    <xf numFmtId="0" fontId="45" fillId="0" borderId="7" xfId="6" applyFont="1" applyBorder="1" applyAlignment="1">
      <alignment horizontal="center" vertical="center" wrapText="1"/>
    </xf>
    <xf numFmtId="0" fontId="45" fillId="0" borderId="8" xfId="6" applyFont="1" applyBorder="1" applyAlignment="1">
      <alignment horizontal="center" vertical="center" wrapText="1"/>
    </xf>
    <xf numFmtId="0" fontId="45" fillId="0" borderId="9" xfId="6" applyFont="1" applyBorder="1" applyAlignment="1">
      <alignment horizontal="center" vertical="center" wrapText="1"/>
    </xf>
    <xf numFmtId="0" fontId="45" fillId="0" borderId="12" xfId="6" applyFont="1" applyBorder="1" applyAlignment="1">
      <alignment horizontal="center" vertical="center" wrapText="1"/>
    </xf>
    <xf numFmtId="0" fontId="45" fillId="0" borderId="0" xfId="6" applyFont="1" applyAlignment="1">
      <alignment horizontal="center" vertical="center" wrapText="1"/>
    </xf>
    <xf numFmtId="0" fontId="45" fillId="0" borderId="13" xfId="6" applyFont="1" applyBorder="1" applyAlignment="1">
      <alignment horizontal="center" vertical="center" wrapText="1"/>
    </xf>
    <xf numFmtId="0" fontId="45" fillId="0" borderId="16" xfId="6" applyFont="1" applyBorder="1" applyAlignment="1">
      <alignment horizontal="center" vertical="center" wrapText="1"/>
    </xf>
    <xf numFmtId="0" fontId="45" fillId="0" borderId="17" xfId="6" applyFont="1" applyBorder="1" applyAlignment="1">
      <alignment horizontal="center" vertical="center" wrapText="1"/>
    </xf>
    <xf numFmtId="0" fontId="45" fillId="0" borderId="18" xfId="6" applyFont="1" applyBorder="1" applyAlignment="1">
      <alignment horizontal="center" vertical="center" wrapText="1"/>
    </xf>
    <xf numFmtId="0" fontId="46" fillId="0" borderId="5" xfId="6" applyFont="1" applyBorder="1" applyAlignment="1">
      <alignment horizontal="left" vertical="center" wrapText="1"/>
    </xf>
    <xf numFmtId="0" fontId="8" fillId="0" borderId="10" xfId="6" applyFont="1" applyBorder="1" applyAlignment="1">
      <alignment horizontal="left" vertical="center" wrapText="1"/>
    </xf>
    <xf numFmtId="0" fontId="46" fillId="0" borderId="14" xfId="6" applyFont="1" applyBorder="1" applyAlignment="1">
      <alignment horizontal="left" vertical="center" wrapText="1"/>
    </xf>
    <xf numFmtId="0" fontId="19" fillId="0" borderId="1" xfId="6" applyFont="1" applyBorder="1" applyAlignment="1">
      <alignment horizontal="center" vertical="center"/>
    </xf>
    <xf numFmtId="0" fontId="66" fillId="0" borderId="0" xfId="2" applyFont="1" applyAlignment="1">
      <alignment horizontal="center" vertical="center"/>
    </xf>
    <xf numFmtId="0" fontId="66" fillId="0" borderId="0" xfId="2" applyFont="1" applyAlignment="1">
      <alignment horizontal="center" vertical="center" wrapText="1"/>
    </xf>
    <xf numFmtId="0" fontId="6" fillId="0" borderId="5" xfId="2" applyBorder="1" applyAlignment="1">
      <alignment horizontal="center" vertical="center"/>
    </xf>
    <xf numFmtId="0" fontId="6" fillId="0" borderId="10" xfId="2" applyBorder="1" applyAlignment="1">
      <alignment horizontal="center" vertical="center"/>
    </xf>
    <xf numFmtId="0" fontId="6" fillId="0" borderId="14" xfId="2" applyBorder="1" applyAlignment="1">
      <alignment horizontal="center" vertical="center"/>
    </xf>
    <xf numFmtId="0" fontId="45" fillId="0" borderId="5" xfId="2" applyFont="1" applyBorder="1" applyAlignment="1">
      <alignment horizontal="center" vertical="center" wrapText="1"/>
    </xf>
    <xf numFmtId="0" fontId="45" fillId="0" borderId="10" xfId="2" applyFont="1" applyBorder="1" applyAlignment="1">
      <alignment horizontal="center" vertical="center" wrapText="1"/>
    </xf>
    <xf numFmtId="0" fontId="45" fillId="0" borderId="14" xfId="2" applyFont="1" applyBorder="1" applyAlignment="1">
      <alignment horizontal="center" vertical="center" wrapText="1"/>
    </xf>
    <xf numFmtId="1" fontId="32" fillId="0" borderId="23" xfId="6" applyNumberFormat="1" applyFont="1" applyBorder="1" applyAlignment="1">
      <alignment horizontal="left" wrapText="1"/>
    </xf>
    <xf numFmtId="0" fontId="41" fillId="0" borderId="0" xfId="2" applyFont="1" applyAlignment="1">
      <alignment horizontal="left" vertical="center"/>
    </xf>
    <xf numFmtId="0" fontId="66" fillId="0" borderId="0" xfId="2" applyFont="1" applyAlignment="1">
      <alignment horizontal="left"/>
    </xf>
    <xf numFmtId="0" fontId="66" fillId="0" borderId="0" xfId="2" applyFont="1" applyAlignment="1">
      <alignment horizontal="center"/>
    </xf>
    <xf numFmtId="0" fontId="14" fillId="0" borderId="17"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17" xfId="2" applyFont="1" applyBorder="1" applyAlignment="1">
      <alignment horizontal="left" vertical="center"/>
    </xf>
    <xf numFmtId="0" fontId="78" fillId="0" borderId="5" xfId="2" applyFont="1" applyBorder="1" applyAlignment="1">
      <alignment horizontal="center" vertical="center" wrapText="1"/>
    </xf>
    <xf numFmtId="0" fontId="78" fillId="0" borderId="10" xfId="2" applyFont="1" applyBorder="1" applyAlignment="1">
      <alignment horizontal="center" vertical="center" wrapText="1"/>
    </xf>
    <xf numFmtId="0" fontId="78" fillId="0" borderId="14" xfId="2" applyFont="1" applyBorder="1" applyAlignment="1">
      <alignment horizontal="center" vertical="center" wrapText="1"/>
    </xf>
    <xf numFmtId="0" fontId="80" fillId="0" borderId="1" xfId="2" applyFont="1" applyBorder="1" applyAlignment="1">
      <alignment horizontal="center" wrapText="1"/>
    </xf>
    <xf numFmtId="0" fontId="19" fillId="0" borderId="1" xfId="2" applyFont="1" applyBorder="1" applyAlignment="1">
      <alignment horizontal="center" vertical="center" wrapText="1"/>
    </xf>
    <xf numFmtId="0" fontId="19" fillId="0" borderId="1" xfId="2" applyFont="1" applyBorder="1" applyAlignment="1">
      <alignment horizontal="center" vertical="center"/>
    </xf>
    <xf numFmtId="0" fontId="14" fillId="0" borderId="0" xfId="2" applyFont="1" applyAlignment="1">
      <alignment horizontal="left" vertical="center" wrapText="1"/>
    </xf>
    <xf numFmtId="0" fontId="19" fillId="0" borderId="2" xfId="2" applyFont="1" applyBorder="1" applyAlignment="1">
      <alignment horizontal="center" vertical="center" wrapText="1"/>
    </xf>
    <xf numFmtId="0" fontId="19" fillId="0" borderId="4" xfId="2" applyFont="1" applyBorder="1" applyAlignment="1">
      <alignment horizontal="center" vertical="center"/>
    </xf>
    <xf numFmtId="0" fontId="19" fillId="0" borderId="4" xfId="2" applyFont="1" applyBorder="1" applyAlignment="1">
      <alignment horizontal="center" vertical="center" wrapText="1"/>
    </xf>
    <xf numFmtId="0" fontId="19" fillId="0" borderId="19" xfId="2" applyFont="1" applyBorder="1" applyAlignment="1">
      <alignment horizontal="center" vertical="center" wrapText="1"/>
    </xf>
    <xf numFmtId="0" fontId="19" fillId="0" borderId="21" xfId="2" applyFont="1" applyBorder="1" applyAlignment="1">
      <alignment horizontal="center" vertical="center"/>
    </xf>
    <xf numFmtId="0" fontId="76" fillId="0" borderId="0" xfId="2" applyFont="1" applyAlignment="1">
      <alignment horizontal="center" vertical="center"/>
    </xf>
    <xf numFmtId="0" fontId="76" fillId="0" borderId="0" xfId="2" applyFont="1" applyAlignment="1">
      <alignment horizontal="left"/>
    </xf>
    <xf numFmtId="0" fontId="44" fillId="0" borderId="5" xfId="4" applyBorder="1" applyAlignment="1">
      <alignment horizontal="center" vertical="center"/>
    </xf>
    <xf numFmtId="0" fontId="44" fillId="0" borderId="10" xfId="4" applyBorder="1" applyAlignment="1">
      <alignment horizontal="center" vertical="center"/>
    </xf>
    <xf numFmtId="0" fontId="44" fillId="0" borderId="14" xfId="4" applyBorder="1" applyAlignment="1">
      <alignment horizontal="center" vertical="center"/>
    </xf>
    <xf numFmtId="0" fontId="45" fillId="0" borderId="5" xfId="4" applyFont="1" applyBorder="1" applyAlignment="1">
      <alignment horizontal="center" vertical="center" wrapText="1"/>
    </xf>
    <xf numFmtId="0" fontId="45" fillId="0" borderId="10" xfId="4" applyFont="1" applyBorder="1" applyAlignment="1">
      <alignment horizontal="center" vertical="center" wrapText="1"/>
    </xf>
    <xf numFmtId="0" fontId="45" fillId="0" borderId="14" xfId="4" applyFont="1" applyBorder="1" applyAlignment="1">
      <alignment horizontal="center" vertical="center" wrapText="1"/>
    </xf>
    <xf numFmtId="0" fontId="8" fillId="0" borderId="5" xfId="4" applyFont="1" applyBorder="1" applyAlignment="1">
      <alignment horizontal="left" vertical="center" wrapText="1"/>
    </xf>
    <xf numFmtId="0" fontId="8" fillId="0" borderId="10" xfId="4" applyFont="1" applyBorder="1" applyAlignment="1">
      <alignment horizontal="left" vertical="center" wrapText="1"/>
    </xf>
    <xf numFmtId="0" fontId="8" fillId="0" borderId="14" xfId="4" applyFont="1" applyBorder="1" applyAlignment="1">
      <alignment horizontal="left" vertical="center" wrapText="1"/>
    </xf>
    <xf numFmtId="0" fontId="67" fillId="0" borderId="19" xfId="4" applyFont="1" applyBorder="1" applyAlignment="1">
      <alignment horizontal="center" vertical="center" wrapText="1"/>
    </xf>
    <xf numFmtId="0" fontId="67" fillId="0" borderId="20" xfId="4" applyFont="1" applyBorder="1" applyAlignment="1">
      <alignment horizontal="center" vertical="center" wrapText="1"/>
    </xf>
    <xf numFmtId="0" fontId="67" fillId="0" borderId="21" xfId="4" applyFont="1" applyBorder="1" applyAlignment="1">
      <alignment horizontal="center" vertical="center" wrapText="1"/>
    </xf>
    <xf numFmtId="0" fontId="24" fillId="0" borderId="0" xfId="4" applyFont="1" applyAlignment="1">
      <alignment horizontal="center" vertical="center"/>
    </xf>
    <xf numFmtId="0" fontId="62" fillId="0" borderId="0" xfId="4" applyFont="1" applyAlignment="1">
      <alignment horizontal="center"/>
    </xf>
    <xf numFmtId="0" fontId="55" fillId="0" borderId="0" xfId="4" applyFont="1" applyAlignment="1">
      <alignment horizontal="center" vertical="center"/>
    </xf>
    <xf numFmtId="0" fontId="24" fillId="0" borderId="0" xfId="4" applyFont="1" applyAlignment="1">
      <alignment horizontal="left" vertical="top" wrapText="1"/>
    </xf>
    <xf numFmtId="0" fontId="24" fillId="0" borderId="26" xfId="4" applyFont="1" applyBorder="1" applyAlignment="1">
      <alignment horizontal="left" vertical="top" wrapText="1"/>
    </xf>
    <xf numFmtId="0" fontId="55" fillId="0" borderId="0" xfId="4" applyFont="1" applyAlignment="1">
      <alignment horizontal="left" vertical="center"/>
    </xf>
    <xf numFmtId="0" fontId="24" fillId="0" borderId="0" xfId="4" applyFont="1" applyAlignment="1">
      <alignment horizontal="left" vertical="center"/>
    </xf>
    <xf numFmtId="0" fontId="94" fillId="0" borderId="2" xfId="3" applyFont="1" applyBorder="1" applyAlignment="1">
      <alignment horizontal="center" vertical="top" wrapText="1"/>
    </xf>
    <xf numFmtId="0" fontId="94" fillId="0" borderId="3" xfId="3" applyFont="1" applyBorder="1" applyAlignment="1">
      <alignment horizontal="center" vertical="top" wrapText="1"/>
    </xf>
    <xf numFmtId="0" fontId="36" fillId="0" borderId="0" xfId="3" applyFont="1" applyAlignment="1">
      <alignment horizontal="left"/>
    </xf>
    <xf numFmtId="0" fontId="36" fillId="0" borderId="0" xfId="3" applyFont="1" applyAlignment="1">
      <alignment horizontal="left" vertical="center"/>
    </xf>
    <xf numFmtId="0" fontId="30" fillId="0" borderId="5" xfId="3" applyFont="1" applyBorder="1" applyAlignment="1">
      <alignment horizontal="center" vertical="center" wrapText="1"/>
    </xf>
    <xf numFmtId="0" fontId="30" fillId="0" borderId="10" xfId="3" applyFont="1" applyBorder="1" applyAlignment="1">
      <alignment horizontal="center" vertical="center" wrapText="1"/>
    </xf>
    <xf numFmtId="0" fontId="30" fillId="0" borderId="14" xfId="3" applyFont="1" applyBorder="1" applyAlignment="1">
      <alignment horizontal="center" vertical="center" wrapText="1"/>
    </xf>
    <xf numFmtId="0" fontId="94" fillId="0" borderId="1" xfId="3" applyFont="1" applyBorder="1" applyAlignment="1">
      <alignment horizontal="center" vertical="top" wrapText="1"/>
    </xf>
    <xf numFmtId="0" fontId="14" fillId="0" borderId="1" xfId="3" applyFont="1" applyBorder="1" applyAlignment="1">
      <alignment horizontal="center" vertical="top" wrapText="1"/>
    </xf>
    <xf numFmtId="0" fontId="76" fillId="0" borderId="2" xfId="3" applyFont="1" applyBorder="1" applyAlignment="1">
      <alignment horizontal="center" vertical="top" wrapText="1"/>
    </xf>
    <xf numFmtId="0" fontId="76" fillId="0" borderId="4" xfId="3" applyFont="1" applyBorder="1" applyAlignment="1">
      <alignment horizontal="center" vertical="top" wrapText="1"/>
    </xf>
    <xf numFmtId="0" fontId="76" fillId="0" borderId="3" xfId="3" applyFont="1" applyBorder="1" applyAlignment="1">
      <alignment horizontal="center" vertical="top" wrapText="1"/>
    </xf>
    <xf numFmtId="0" fontId="45" fillId="0" borderId="5" xfId="3" applyFont="1" applyBorder="1" applyAlignment="1">
      <alignment horizontal="center" vertical="center" wrapText="1"/>
    </xf>
    <xf numFmtId="0" fontId="45" fillId="0" borderId="10" xfId="3" applyFont="1" applyBorder="1" applyAlignment="1">
      <alignment horizontal="center" vertical="center" wrapText="1"/>
    </xf>
    <xf numFmtId="0" fontId="45" fillId="0" borderId="14" xfId="3" applyFont="1" applyBorder="1" applyAlignment="1">
      <alignment horizontal="center" vertical="center" wrapText="1"/>
    </xf>
    <xf numFmtId="0" fontId="100" fillId="0" borderId="1" xfId="3" applyFont="1" applyBorder="1" applyAlignment="1">
      <alignment vertical="center" wrapText="1"/>
    </xf>
    <xf numFmtId="0" fontId="14" fillId="0" borderId="2" xfId="3" applyFont="1" applyBorder="1" applyAlignment="1">
      <alignment horizontal="center" vertical="top" wrapText="1"/>
    </xf>
    <xf numFmtId="0" fontId="14" fillId="0" borderId="3" xfId="3" applyFont="1" applyBorder="1" applyAlignment="1">
      <alignment horizontal="center" vertical="top" wrapText="1"/>
    </xf>
    <xf numFmtId="0" fontId="23" fillId="0" borderId="19" xfId="3" applyFont="1" applyBorder="1" applyAlignment="1">
      <alignment horizontal="center" vertical="top" wrapText="1"/>
    </xf>
    <xf numFmtId="0" fontId="23" fillId="0" borderId="21" xfId="3" applyFont="1" applyBorder="1" applyAlignment="1">
      <alignment horizontal="center" vertical="top" wrapText="1"/>
    </xf>
    <xf numFmtId="0" fontId="8" fillId="0" borderId="5" xfId="3" applyFont="1" applyBorder="1" applyAlignment="1">
      <alignment horizontal="left" vertical="center" wrapText="1"/>
    </xf>
    <xf numFmtId="0" fontId="25" fillId="0" borderId="1" xfId="3" applyFont="1" applyBorder="1" applyAlignment="1">
      <alignment horizontal="center" vertical="center" wrapText="1"/>
    </xf>
  </cellXfs>
  <cellStyles count="8">
    <cellStyle name="Comma" xfId="1" builtinId="3"/>
    <cellStyle name="Comma 2" xfId="5" xr:uid="{24D4691F-EDEF-48E2-B3C9-D7502DF3DDC0}"/>
    <cellStyle name="Comma 2 2" xfId="7" xr:uid="{59E293FD-1FA6-4155-B107-678971128248}"/>
    <cellStyle name="Normal" xfId="0" builtinId="0"/>
    <cellStyle name="Normal 2" xfId="2" xr:uid="{F273E8E3-9309-482A-B802-2FF83AA40555}"/>
    <cellStyle name="Normal 2 2" xfId="3" xr:uid="{5CC9808D-632E-4887-9235-9094C6B9FA0F}"/>
    <cellStyle name="Normal 3" xfId="4" xr:uid="{DF3C164A-48B6-4DFE-AE4B-C7A74A4A0FA5}"/>
    <cellStyle name="Normal 4" xfId="6" xr:uid="{68366A99-AC61-414C-B659-5134F546344F}"/>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color rgb="FFD4E7C7"/>
      <color rgb="FFE2BF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603250</xdr:colOff>
      <xdr:row>2</xdr:row>
      <xdr:rowOff>222250</xdr:rowOff>
    </xdr:to>
    <xdr:pic>
      <xdr:nvPicPr>
        <xdr:cNvPr id="2" name="Picture 3">
          <a:extLst>
            <a:ext uri="{FF2B5EF4-FFF2-40B4-BE49-F238E27FC236}">
              <a16:creationId xmlns:a16="http://schemas.microsoft.com/office/drawing/2014/main" id="{A0A78A69-3A64-4E60-98E8-394D68422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114300"/>
          <a:ext cx="1257300"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289560</xdr:colOff>
          <xdr:row>14</xdr:row>
          <xdr:rowOff>327660</xdr:rowOff>
        </xdr:from>
        <xdr:to>
          <xdr:col>2</xdr:col>
          <xdr:colOff>594360</xdr:colOff>
          <xdr:row>15</xdr:row>
          <xdr:rowOff>312420</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0200-00000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16</xdr:row>
          <xdr:rowOff>7620</xdr:rowOff>
        </xdr:from>
        <xdr:to>
          <xdr:col>2</xdr:col>
          <xdr:colOff>594360</xdr:colOff>
          <xdr:row>16</xdr:row>
          <xdr:rowOff>312420</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0200-00000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20</xdr:row>
          <xdr:rowOff>327660</xdr:rowOff>
        </xdr:from>
        <xdr:to>
          <xdr:col>1</xdr:col>
          <xdr:colOff>541020</xdr:colOff>
          <xdr:row>21</xdr:row>
          <xdr:rowOff>312420</xdr:rowOff>
        </xdr:to>
        <xdr:sp macro="" textlink="">
          <xdr:nvSpPr>
            <xdr:cNvPr id="34819" name="Check Box 3" hidden="1">
              <a:extLst>
                <a:ext uri="{63B3BB69-23CF-44E3-9099-C40C66FF867C}">
                  <a14:compatExt spid="_x0000_s34819"/>
                </a:ext>
                <a:ext uri="{FF2B5EF4-FFF2-40B4-BE49-F238E27FC236}">
                  <a16:creationId xmlns:a16="http://schemas.microsoft.com/office/drawing/2014/main" id="{00000000-0008-0000-0200-00000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22</xdr:row>
          <xdr:rowOff>30480</xdr:rowOff>
        </xdr:from>
        <xdr:to>
          <xdr:col>1</xdr:col>
          <xdr:colOff>541020</xdr:colOff>
          <xdr:row>23</xdr:row>
          <xdr:rowOff>7620</xdr:rowOff>
        </xdr:to>
        <xdr:sp macro="" textlink="">
          <xdr:nvSpPr>
            <xdr:cNvPr id="34820" name="Check Box 4" hidden="1">
              <a:extLst>
                <a:ext uri="{63B3BB69-23CF-44E3-9099-C40C66FF867C}">
                  <a14:compatExt spid="_x0000_s34820"/>
                </a:ext>
                <a:ext uri="{FF2B5EF4-FFF2-40B4-BE49-F238E27FC236}">
                  <a16:creationId xmlns:a16="http://schemas.microsoft.com/office/drawing/2014/main" id="{00000000-0008-0000-0200-00000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876300</xdr:colOff>
          <xdr:row>26</xdr:row>
          <xdr:rowOff>0</xdr:rowOff>
        </xdr:from>
        <xdr:to>
          <xdr:col>7</xdr:col>
          <xdr:colOff>38100</xdr:colOff>
          <xdr:row>26</xdr:row>
          <xdr:rowOff>312420</xdr:rowOff>
        </xdr:to>
        <xdr:sp macro="" textlink="">
          <xdr:nvSpPr>
            <xdr:cNvPr id="34821" name="Check Box 5" hidden="1">
              <a:extLst>
                <a:ext uri="{63B3BB69-23CF-44E3-9099-C40C66FF867C}">
                  <a14:compatExt spid="_x0000_s34821"/>
                </a:ext>
                <a:ext uri="{FF2B5EF4-FFF2-40B4-BE49-F238E27FC236}">
                  <a16:creationId xmlns:a16="http://schemas.microsoft.com/office/drawing/2014/main" id="{00000000-0008-0000-0200-00000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274320</xdr:colOff>
          <xdr:row>27</xdr:row>
          <xdr:rowOff>7620</xdr:rowOff>
        </xdr:from>
        <xdr:to>
          <xdr:col>6</xdr:col>
          <xdr:colOff>579120</xdr:colOff>
          <xdr:row>28</xdr:row>
          <xdr:rowOff>0</xdr:rowOff>
        </xdr:to>
        <xdr:sp macro="" textlink="">
          <xdr:nvSpPr>
            <xdr:cNvPr id="34822" name="Check Box 6" hidden="1">
              <a:extLst>
                <a:ext uri="{63B3BB69-23CF-44E3-9099-C40C66FF867C}">
                  <a14:compatExt spid="_x0000_s34822"/>
                </a:ext>
                <a:ext uri="{FF2B5EF4-FFF2-40B4-BE49-F238E27FC236}">
                  <a16:creationId xmlns:a16="http://schemas.microsoft.com/office/drawing/2014/main" id="{00000000-0008-0000-0200-00000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403860</xdr:colOff>
          <xdr:row>25</xdr:row>
          <xdr:rowOff>327660</xdr:rowOff>
        </xdr:from>
        <xdr:to>
          <xdr:col>4</xdr:col>
          <xdr:colOff>708660</xdr:colOff>
          <xdr:row>26</xdr:row>
          <xdr:rowOff>312420</xdr:rowOff>
        </xdr:to>
        <xdr:sp macro="" textlink="">
          <xdr:nvSpPr>
            <xdr:cNvPr id="34823" name="Check Box 7" hidden="1">
              <a:extLst>
                <a:ext uri="{63B3BB69-23CF-44E3-9099-C40C66FF867C}">
                  <a14:compatExt spid="_x0000_s34823"/>
                </a:ext>
                <a:ext uri="{FF2B5EF4-FFF2-40B4-BE49-F238E27FC236}">
                  <a16:creationId xmlns:a16="http://schemas.microsoft.com/office/drawing/2014/main" id="{00000000-0008-0000-0200-00000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411480</xdr:colOff>
          <xdr:row>27</xdr:row>
          <xdr:rowOff>0</xdr:rowOff>
        </xdr:from>
        <xdr:to>
          <xdr:col>4</xdr:col>
          <xdr:colOff>716280</xdr:colOff>
          <xdr:row>27</xdr:row>
          <xdr:rowOff>312420</xdr:rowOff>
        </xdr:to>
        <xdr:sp macro="" textlink="">
          <xdr:nvSpPr>
            <xdr:cNvPr id="34824" name="Check Box 8" hidden="1">
              <a:extLst>
                <a:ext uri="{63B3BB69-23CF-44E3-9099-C40C66FF867C}">
                  <a14:compatExt spid="_x0000_s34824"/>
                </a:ext>
                <a:ext uri="{FF2B5EF4-FFF2-40B4-BE49-F238E27FC236}">
                  <a16:creationId xmlns:a16="http://schemas.microsoft.com/office/drawing/2014/main" id="{00000000-0008-0000-0200-00000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139700</xdr:colOff>
      <xdr:row>0</xdr:row>
      <xdr:rowOff>44450</xdr:rowOff>
    </xdr:from>
    <xdr:to>
      <xdr:col>3</xdr:col>
      <xdr:colOff>190500</xdr:colOff>
      <xdr:row>2</xdr:row>
      <xdr:rowOff>133350</xdr:rowOff>
    </xdr:to>
    <xdr:pic>
      <xdr:nvPicPr>
        <xdr:cNvPr id="2" name="Picture 3">
          <a:extLst>
            <a:ext uri="{FF2B5EF4-FFF2-40B4-BE49-F238E27FC236}">
              <a16:creationId xmlns:a16="http://schemas.microsoft.com/office/drawing/2014/main" id="{71A7469C-2D46-4141-9843-C150659A5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44450"/>
          <a:ext cx="9715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146050</xdr:colOff>
      <xdr:row>0</xdr:row>
      <xdr:rowOff>44450</xdr:rowOff>
    </xdr:from>
    <xdr:to>
      <xdr:col>14</xdr:col>
      <xdr:colOff>1111250</xdr:colOff>
      <xdr:row>2</xdr:row>
      <xdr:rowOff>127000</xdr:rowOff>
    </xdr:to>
    <xdr:pic>
      <xdr:nvPicPr>
        <xdr:cNvPr id="3" name="Picture 4">
          <a:extLst>
            <a:ext uri="{FF2B5EF4-FFF2-40B4-BE49-F238E27FC236}">
              <a16:creationId xmlns:a16="http://schemas.microsoft.com/office/drawing/2014/main" id="{8545B442-755C-4C76-883C-944DCEFE9D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44450"/>
          <a:ext cx="965200" cy="62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50800</xdr:colOff>
      <xdr:row>0</xdr:row>
      <xdr:rowOff>69850</xdr:rowOff>
    </xdr:from>
    <xdr:to>
      <xdr:col>1</xdr:col>
      <xdr:colOff>1092200</xdr:colOff>
      <xdr:row>2</xdr:row>
      <xdr:rowOff>196850</xdr:rowOff>
    </xdr:to>
    <xdr:pic>
      <xdr:nvPicPr>
        <xdr:cNvPr id="2" name="Picture 3">
          <a:extLst>
            <a:ext uri="{FF2B5EF4-FFF2-40B4-BE49-F238E27FC236}">
              <a16:creationId xmlns:a16="http://schemas.microsoft.com/office/drawing/2014/main" id="{D0E5678B-B9D4-4EA6-8C14-39E94C7BA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9900" y="69850"/>
          <a:ext cx="10414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388620</xdr:colOff>
          <xdr:row>24</xdr:row>
          <xdr:rowOff>45720</xdr:rowOff>
        </xdr:from>
        <xdr:to>
          <xdr:col>2</xdr:col>
          <xdr:colOff>647700</xdr:colOff>
          <xdr:row>24</xdr:row>
          <xdr:rowOff>236220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D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24</xdr:row>
          <xdr:rowOff>60960</xdr:rowOff>
        </xdr:from>
        <xdr:to>
          <xdr:col>5</xdr:col>
          <xdr:colOff>411480</xdr:colOff>
          <xdr:row>24</xdr:row>
          <xdr:rowOff>259080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D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25</xdr:row>
          <xdr:rowOff>7620</xdr:rowOff>
        </xdr:from>
        <xdr:to>
          <xdr:col>2</xdr:col>
          <xdr:colOff>640080</xdr:colOff>
          <xdr:row>25</xdr:row>
          <xdr:rowOff>198120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D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26</xdr:row>
          <xdr:rowOff>7620</xdr:rowOff>
        </xdr:from>
        <xdr:to>
          <xdr:col>2</xdr:col>
          <xdr:colOff>655320</xdr:colOff>
          <xdr:row>27</xdr:row>
          <xdr:rowOff>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D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27</xdr:row>
          <xdr:rowOff>45720</xdr:rowOff>
        </xdr:from>
        <xdr:to>
          <xdr:col>2</xdr:col>
          <xdr:colOff>655320</xdr:colOff>
          <xdr:row>27</xdr:row>
          <xdr:rowOff>251460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D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144780</xdr:colOff>
          <xdr:row>24</xdr:row>
          <xdr:rowOff>449580</xdr:rowOff>
        </xdr:from>
        <xdr:to>
          <xdr:col>5</xdr:col>
          <xdr:colOff>388620</xdr:colOff>
          <xdr:row>25</xdr:row>
          <xdr:rowOff>198120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D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144780</xdr:colOff>
          <xdr:row>26</xdr:row>
          <xdr:rowOff>0</xdr:rowOff>
        </xdr:from>
        <xdr:to>
          <xdr:col>5</xdr:col>
          <xdr:colOff>403860</xdr:colOff>
          <xdr:row>26</xdr:row>
          <xdr:rowOff>198120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D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27</xdr:row>
          <xdr:rowOff>45720</xdr:rowOff>
        </xdr:from>
        <xdr:to>
          <xdr:col>5</xdr:col>
          <xdr:colOff>411480</xdr:colOff>
          <xdr:row>27</xdr:row>
          <xdr:rowOff>251460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D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28</xdr:row>
          <xdr:rowOff>45720</xdr:rowOff>
        </xdr:from>
        <xdr:to>
          <xdr:col>5</xdr:col>
          <xdr:colOff>411480</xdr:colOff>
          <xdr:row>28</xdr:row>
          <xdr:rowOff>251460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D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28</xdr:row>
          <xdr:rowOff>45720</xdr:rowOff>
        </xdr:from>
        <xdr:to>
          <xdr:col>2</xdr:col>
          <xdr:colOff>647700</xdr:colOff>
          <xdr:row>28</xdr:row>
          <xdr:rowOff>236220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D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1</xdr:row>
      <xdr:rowOff>120650</xdr:rowOff>
    </xdr:from>
    <xdr:to>
      <xdr:col>1</xdr:col>
      <xdr:colOff>361950</xdr:colOff>
      <xdr:row>3</xdr:row>
      <xdr:rowOff>107950</xdr:rowOff>
    </xdr:to>
    <xdr:pic>
      <xdr:nvPicPr>
        <xdr:cNvPr id="2" name="Picture 3">
          <a:extLst>
            <a:ext uri="{FF2B5EF4-FFF2-40B4-BE49-F238E27FC236}">
              <a16:creationId xmlns:a16="http://schemas.microsoft.com/office/drawing/2014/main" id="{FC50DB60-2431-4E0E-A1A8-E62D72E8ED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4800"/>
          <a:ext cx="787400" cy="54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349250</xdr:colOff>
      <xdr:row>0</xdr:row>
      <xdr:rowOff>57150</xdr:rowOff>
    </xdr:from>
    <xdr:to>
      <xdr:col>1</xdr:col>
      <xdr:colOff>996950</xdr:colOff>
      <xdr:row>2</xdr:row>
      <xdr:rowOff>228600</xdr:rowOff>
    </xdr:to>
    <xdr:pic>
      <xdr:nvPicPr>
        <xdr:cNvPr id="2" name="Picture 3">
          <a:extLst>
            <a:ext uri="{FF2B5EF4-FFF2-40B4-BE49-F238E27FC236}">
              <a16:creationId xmlns:a16="http://schemas.microsoft.com/office/drawing/2014/main" id="{D8FC6AC3-AE21-47B0-B653-5A69963CD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250" y="57150"/>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502920</xdr:colOff>
          <xdr:row>13</xdr:row>
          <xdr:rowOff>83820</xdr:rowOff>
        </xdr:from>
        <xdr:to>
          <xdr:col>2</xdr:col>
          <xdr:colOff>716280</xdr:colOff>
          <xdr:row>14</xdr:row>
          <xdr:rowOff>22860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F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502920</xdr:colOff>
          <xdr:row>14</xdr:row>
          <xdr:rowOff>83820</xdr:rowOff>
        </xdr:from>
        <xdr:to>
          <xdr:col>2</xdr:col>
          <xdr:colOff>716280</xdr:colOff>
          <xdr:row>15</xdr:row>
          <xdr:rowOff>22860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F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502920</xdr:colOff>
          <xdr:row>15</xdr:row>
          <xdr:rowOff>83820</xdr:rowOff>
        </xdr:from>
        <xdr:to>
          <xdr:col>2</xdr:col>
          <xdr:colOff>716280</xdr:colOff>
          <xdr:row>16</xdr:row>
          <xdr:rowOff>22860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F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464820</xdr:colOff>
          <xdr:row>13</xdr:row>
          <xdr:rowOff>83820</xdr:rowOff>
        </xdr:from>
        <xdr:to>
          <xdr:col>4</xdr:col>
          <xdr:colOff>182880</xdr:colOff>
          <xdr:row>14</xdr:row>
          <xdr:rowOff>22860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F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464820</xdr:colOff>
          <xdr:row>14</xdr:row>
          <xdr:rowOff>83820</xdr:rowOff>
        </xdr:from>
        <xdr:to>
          <xdr:col>4</xdr:col>
          <xdr:colOff>182880</xdr:colOff>
          <xdr:row>15</xdr:row>
          <xdr:rowOff>22860</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F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464820</xdr:colOff>
          <xdr:row>15</xdr:row>
          <xdr:rowOff>83820</xdr:rowOff>
        </xdr:from>
        <xdr:to>
          <xdr:col>4</xdr:col>
          <xdr:colOff>182880</xdr:colOff>
          <xdr:row>16</xdr:row>
          <xdr:rowOff>22860</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F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139700</xdr:colOff>
      <xdr:row>1</xdr:row>
      <xdr:rowOff>76200</xdr:rowOff>
    </xdr:from>
    <xdr:to>
      <xdr:col>2</xdr:col>
      <xdr:colOff>609600</xdr:colOff>
      <xdr:row>3</xdr:row>
      <xdr:rowOff>241300</xdr:rowOff>
    </xdr:to>
    <xdr:pic>
      <xdr:nvPicPr>
        <xdr:cNvPr id="2" name="Picture 3">
          <a:extLst>
            <a:ext uri="{FF2B5EF4-FFF2-40B4-BE49-F238E27FC236}">
              <a16:creationId xmlns:a16="http://schemas.microsoft.com/office/drawing/2014/main" id="{FDF3C87E-7A90-4200-A463-81C36D1F2A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0850" y="539750"/>
          <a:ext cx="9398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158750</xdr:colOff>
      <xdr:row>0</xdr:row>
      <xdr:rowOff>63500</xdr:rowOff>
    </xdr:from>
    <xdr:to>
      <xdr:col>1</xdr:col>
      <xdr:colOff>711200</xdr:colOff>
      <xdr:row>2</xdr:row>
      <xdr:rowOff>222250</xdr:rowOff>
    </xdr:to>
    <xdr:pic>
      <xdr:nvPicPr>
        <xdr:cNvPr id="2" name="Picture 3">
          <a:extLst>
            <a:ext uri="{FF2B5EF4-FFF2-40B4-BE49-F238E27FC236}">
              <a16:creationId xmlns:a16="http://schemas.microsoft.com/office/drawing/2014/main" id="{5F9EE692-82A8-428F-BDC5-B7BE078B9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0" y="63500"/>
          <a:ext cx="1162050"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88900</xdr:colOff>
      <xdr:row>0</xdr:row>
      <xdr:rowOff>76200</xdr:rowOff>
    </xdr:from>
    <xdr:to>
      <xdr:col>1</xdr:col>
      <xdr:colOff>349250</xdr:colOff>
      <xdr:row>2</xdr:row>
      <xdr:rowOff>222250</xdr:rowOff>
    </xdr:to>
    <xdr:pic>
      <xdr:nvPicPr>
        <xdr:cNvPr id="2" name="Picture 3">
          <a:extLst>
            <a:ext uri="{FF2B5EF4-FFF2-40B4-BE49-F238E27FC236}">
              <a16:creationId xmlns:a16="http://schemas.microsoft.com/office/drawing/2014/main" id="{539EC830-1D12-4321-B6E2-F80DDC991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76200"/>
          <a:ext cx="115570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247650</xdr:colOff>
      <xdr:row>0</xdr:row>
      <xdr:rowOff>95250</xdr:rowOff>
    </xdr:from>
    <xdr:to>
      <xdr:col>2</xdr:col>
      <xdr:colOff>190500</xdr:colOff>
      <xdr:row>2</xdr:row>
      <xdr:rowOff>133350</xdr:rowOff>
    </xdr:to>
    <xdr:pic>
      <xdr:nvPicPr>
        <xdr:cNvPr id="2" name="Picture 3">
          <a:extLst>
            <a:ext uri="{FF2B5EF4-FFF2-40B4-BE49-F238E27FC236}">
              <a16:creationId xmlns:a16="http://schemas.microsoft.com/office/drawing/2014/main" id="{B42403A2-C49A-4A79-9E5D-589390694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95250"/>
          <a:ext cx="9271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171450</xdr:colOff>
      <xdr:row>0</xdr:row>
      <xdr:rowOff>107950</xdr:rowOff>
    </xdr:from>
    <xdr:to>
      <xdr:col>1</xdr:col>
      <xdr:colOff>438150</xdr:colOff>
      <xdr:row>2</xdr:row>
      <xdr:rowOff>247650</xdr:rowOff>
    </xdr:to>
    <xdr:pic>
      <xdr:nvPicPr>
        <xdr:cNvPr id="2" name="Picture 3">
          <a:extLst>
            <a:ext uri="{FF2B5EF4-FFF2-40B4-BE49-F238E27FC236}">
              <a16:creationId xmlns:a16="http://schemas.microsoft.com/office/drawing/2014/main" id="{DE3B1B62-71FC-47DB-BC91-CDA685BDE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107950"/>
          <a:ext cx="106680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158750</xdr:colOff>
      <xdr:row>0</xdr:row>
      <xdr:rowOff>139700</xdr:rowOff>
    </xdr:from>
    <xdr:to>
      <xdr:col>2</xdr:col>
      <xdr:colOff>368300</xdr:colOff>
      <xdr:row>2</xdr:row>
      <xdr:rowOff>203200</xdr:rowOff>
    </xdr:to>
    <xdr:pic>
      <xdr:nvPicPr>
        <xdr:cNvPr id="2" name="Picture 3">
          <a:extLst>
            <a:ext uri="{FF2B5EF4-FFF2-40B4-BE49-F238E27FC236}">
              <a16:creationId xmlns:a16="http://schemas.microsoft.com/office/drawing/2014/main" id="{FBFDC241-E1F6-4BCB-A71C-3881098E08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0" y="139700"/>
          <a:ext cx="10604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13.xml"/><Relationship Id="rId13" Type="http://schemas.openxmlformats.org/officeDocument/2006/relationships/ctrlProp" Target="../ctrlProps/ctrlProp18.xml"/><Relationship Id="rId3" Type="http://schemas.openxmlformats.org/officeDocument/2006/relationships/vmlDrawing" Target="../drawings/vmlDrawing2.vml"/><Relationship Id="rId7" Type="http://schemas.openxmlformats.org/officeDocument/2006/relationships/ctrlProp" Target="../ctrlProps/ctrlProp12.xml"/><Relationship Id="rId12" Type="http://schemas.openxmlformats.org/officeDocument/2006/relationships/ctrlProp" Target="../ctrlProps/ctrlProp17.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23.xml"/><Relationship Id="rId3" Type="http://schemas.openxmlformats.org/officeDocument/2006/relationships/vmlDrawing" Target="../drawings/vmlDrawing3.vml"/><Relationship Id="rId7" Type="http://schemas.openxmlformats.org/officeDocument/2006/relationships/ctrlProp" Target="../ctrlProps/ctrlProp22.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1387-A3D5-4ECE-AA57-638128F2E137}">
  <dimension ref="B2:D18"/>
  <sheetViews>
    <sheetView workbookViewId="0">
      <selection activeCell="C4" sqref="C4"/>
    </sheetView>
  </sheetViews>
  <sheetFormatPr defaultRowHeight="16.8"/>
  <cols>
    <col min="2" max="2" width="8.453125" customWidth="1"/>
    <col min="3" max="3" width="15.36328125" customWidth="1"/>
    <col min="4" max="4" width="69.1796875" customWidth="1"/>
  </cols>
  <sheetData>
    <row r="2" spans="2:4">
      <c r="B2" s="28"/>
      <c r="C2" s="28"/>
    </row>
    <row r="3" spans="2:4" ht="28.5" customHeight="1">
      <c r="B3" s="30" t="s">
        <v>309</v>
      </c>
      <c r="C3" s="30" t="s">
        <v>661</v>
      </c>
      <c r="D3" s="26" t="s">
        <v>308</v>
      </c>
    </row>
    <row r="4" spans="2:4" ht="33.6">
      <c r="B4" s="78">
        <v>1</v>
      </c>
      <c r="C4" s="78" t="s">
        <v>662</v>
      </c>
      <c r="D4" s="229" t="s">
        <v>474</v>
      </c>
    </row>
    <row r="5" spans="2:4" ht="29.4" customHeight="1">
      <c r="B5" s="78">
        <v>2</v>
      </c>
      <c r="C5" s="78" t="s">
        <v>662</v>
      </c>
      <c r="D5" s="229" t="s">
        <v>660</v>
      </c>
    </row>
    <row r="6" spans="2:4" ht="33.6">
      <c r="B6" s="78">
        <v>3</v>
      </c>
      <c r="C6" s="78" t="s">
        <v>662</v>
      </c>
      <c r="D6" s="229" t="s">
        <v>297</v>
      </c>
    </row>
    <row r="7" spans="2:4" ht="33.6">
      <c r="B7" s="78">
        <v>4</v>
      </c>
      <c r="C7" s="78" t="s">
        <v>662</v>
      </c>
      <c r="D7" s="229" t="s">
        <v>475</v>
      </c>
    </row>
    <row r="8" spans="2:4" ht="33.6">
      <c r="B8" s="78">
        <v>5</v>
      </c>
      <c r="C8" s="78" t="s">
        <v>663</v>
      </c>
      <c r="D8" s="229" t="s">
        <v>476</v>
      </c>
    </row>
    <row r="9" spans="2:4" ht="33.6">
      <c r="B9" s="78">
        <v>6</v>
      </c>
      <c r="C9" s="78" t="s">
        <v>663</v>
      </c>
      <c r="D9" s="229" t="s">
        <v>298</v>
      </c>
    </row>
    <row r="10" spans="2:4" ht="33.6">
      <c r="B10" s="78">
        <v>7</v>
      </c>
      <c r="C10" s="78" t="s">
        <v>664</v>
      </c>
      <c r="D10" s="229" t="s">
        <v>477</v>
      </c>
    </row>
    <row r="11" spans="2:4" ht="50.4">
      <c r="B11" s="78">
        <v>8</v>
      </c>
      <c r="C11" s="78" t="s">
        <v>665</v>
      </c>
      <c r="D11" s="229" t="s">
        <v>478</v>
      </c>
    </row>
    <row r="12" spans="2:4" ht="100.8">
      <c r="B12" s="78">
        <v>9</v>
      </c>
      <c r="C12" s="78" t="s">
        <v>666</v>
      </c>
      <c r="D12" s="229" t="s">
        <v>650</v>
      </c>
    </row>
    <row r="13" spans="2:4" ht="67.2">
      <c r="B13" s="78">
        <v>10</v>
      </c>
      <c r="C13" s="78" t="s">
        <v>667</v>
      </c>
      <c r="D13" s="229" t="s">
        <v>303</v>
      </c>
    </row>
    <row r="14" spans="2:4" ht="36" customHeight="1">
      <c r="B14" s="78">
        <v>13</v>
      </c>
      <c r="C14" s="78" t="s">
        <v>667</v>
      </c>
      <c r="D14" s="229" t="s">
        <v>657</v>
      </c>
    </row>
    <row r="15" spans="2:4" ht="76.5" customHeight="1">
      <c r="B15" s="78">
        <v>11</v>
      </c>
      <c r="C15" s="78" t="s">
        <v>668</v>
      </c>
      <c r="D15" s="229" t="s">
        <v>656</v>
      </c>
    </row>
    <row r="16" spans="2:4" ht="57" customHeight="1">
      <c r="B16" s="78">
        <v>12</v>
      </c>
      <c r="C16" s="78" t="s">
        <v>669</v>
      </c>
      <c r="D16" s="229" t="s">
        <v>655</v>
      </c>
    </row>
    <row r="17" spans="2:4" ht="51" customHeight="1">
      <c r="B17" s="78">
        <v>14</v>
      </c>
      <c r="C17" s="78" t="s">
        <v>697</v>
      </c>
      <c r="D17" s="229" t="s">
        <v>659</v>
      </c>
    </row>
    <row r="18" spans="2:4" ht="84">
      <c r="B18" s="78">
        <v>15</v>
      </c>
      <c r="C18" s="78" t="s">
        <v>698</v>
      </c>
      <c r="D18" s="229" t="s">
        <v>658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4531-BE4D-426B-9299-7352CA67685A}">
  <dimension ref="A2:C32"/>
  <sheetViews>
    <sheetView workbookViewId="0">
      <selection activeCell="B9" sqref="B9"/>
    </sheetView>
  </sheetViews>
  <sheetFormatPr defaultRowHeight="16.8"/>
  <cols>
    <col min="2" max="2" width="32" customWidth="1"/>
    <col min="3" max="3" width="56.81640625" customWidth="1"/>
  </cols>
  <sheetData>
    <row r="2" spans="1:3">
      <c r="A2" t="s">
        <v>66</v>
      </c>
      <c r="B2" s="4" t="s">
        <v>14</v>
      </c>
    </row>
    <row r="3" spans="1:3">
      <c r="A3" t="s">
        <v>67</v>
      </c>
      <c r="B3" t="s">
        <v>76</v>
      </c>
      <c r="C3" t="s">
        <v>649</v>
      </c>
    </row>
    <row r="4" spans="1:3">
      <c r="A4" t="s">
        <v>68</v>
      </c>
      <c r="B4" t="s">
        <v>15</v>
      </c>
      <c r="C4" t="s">
        <v>652</v>
      </c>
    </row>
    <row r="5" spans="1:3">
      <c r="A5" t="s">
        <v>69</v>
      </c>
      <c r="B5" t="s">
        <v>16</v>
      </c>
      <c r="C5" t="s">
        <v>652</v>
      </c>
    </row>
    <row r="6" spans="1:3">
      <c r="A6" t="s">
        <v>70</v>
      </c>
      <c r="B6" t="s">
        <v>72</v>
      </c>
      <c r="C6" t="s">
        <v>649</v>
      </c>
    </row>
    <row r="7" spans="1:3">
      <c r="A7" t="s">
        <v>71</v>
      </c>
      <c r="B7" t="s">
        <v>73</v>
      </c>
      <c r="C7" t="s">
        <v>649</v>
      </c>
    </row>
    <row r="8" spans="1:3">
      <c r="A8" t="s">
        <v>74</v>
      </c>
      <c r="B8" t="s">
        <v>75</v>
      </c>
      <c r="C8" t="s">
        <v>649</v>
      </c>
    </row>
    <row r="9" spans="1:3">
      <c r="A9" t="s">
        <v>77</v>
      </c>
      <c r="B9" s="4" t="s">
        <v>78</v>
      </c>
    </row>
    <row r="10" spans="1:3">
      <c r="A10" t="s">
        <v>22</v>
      </c>
      <c r="B10" t="s">
        <v>17</v>
      </c>
      <c r="C10" t="s">
        <v>18</v>
      </c>
    </row>
    <row r="11" spans="1:3">
      <c r="A11" t="s">
        <v>23</v>
      </c>
      <c r="B11" t="s">
        <v>19</v>
      </c>
      <c r="C11" t="s">
        <v>21</v>
      </c>
    </row>
    <row r="12" spans="1:3">
      <c r="A12" t="s">
        <v>24</v>
      </c>
      <c r="B12" t="s">
        <v>20</v>
      </c>
      <c r="C12" t="s">
        <v>252</v>
      </c>
    </row>
    <row r="13" spans="1:3">
      <c r="A13" t="s">
        <v>25</v>
      </c>
      <c r="B13" t="s">
        <v>27</v>
      </c>
      <c r="C13" t="s">
        <v>51</v>
      </c>
    </row>
    <row r="14" spans="1:3">
      <c r="A14" t="s">
        <v>26</v>
      </c>
      <c r="B14" t="s">
        <v>28</v>
      </c>
      <c r="C14" t="s">
        <v>29</v>
      </c>
    </row>
    <row r="15" spans="1:3">
      <c r="B15" t="s">
        <v>30</v>
      </c>
      <c r="C15" t="s">
        <v>29</v>
      </c>
    </row>
    <row r="16" spans="1:3">
      <c r="A16" t="s">
        <v>31</v>
      </c>
      <c r="B16" t="s">
        <v>32</v>
      </c>
      <c r="C16" t="s">
        <v>653</v>
      </c>
    </row>
    <row r="17" spans="1:3">
      <c r="A17" t="s">
        <v>33</v>
      </c>
      <c r="B17" t="s">
        <v>34</v>
      </c>
      <c r="C17" t="s">
        <v>654</v>
      </c>
    </row>
    <row r="18" spans="1:3" ht="50.4">
      <c r="A18" t="s">
        <v>35</v>
      </c>
      <c r="B18" t="s">
        <v>36</v>
      </c>
      <c r="C18" s="28" t="s">
        <v>286</v>
      </c>
    </row>
    <row r="19" spans="1:3">
      <c r="A19" t="s">
        <v>37</v>
      </c>
      <c r="B19" t="s">
        <v>38</v>
      </c>
      <c r="C19" t="s">
        <v>39</v>
      </c>
    </row>
    <row r="20" spans="1:3" s="4" customFormat="1">
      <c r="A20" s="4" t="s">
        <v>40</v>
      </c>
      <c r="B20" s="4" t="s">
        <v>41</v>
      </c>
    </row>
    <row r="21" spans="1:3">
      <c r="A21" t="s">
        <v>43</v>
      </c>
      <c r="B21" t="s">
        <v>42</v>
      </c>
      <c r="C21" t="s">
        <v>44</v>
      </c>
    </row>
    <row r="22" spans="1:3">
      <c r="A22" t="s">
        <v>45</v>
      </c>
      <c r="B22" t="s">
        <v>47</v>
      </c>
    </row>
    <row r="23" spans="1:3">
      <c r="B23" s="2" t="s">
        <v>48</v>
      </c>
      <c r="C23" t="s">
        <v>52</v>
      </c>
    </row>
    <row r="24" spans="1:3">
      <c r="B24" s="2" t="s">
        <v>50</v>
      </c>
      <c r="C24" t="s">
        <v>647</v>
      </c>
    </row>
    <row r="25" spans="1:3">
      <c r="A25" t="s">
        <v>46</v>
      </c>
      <c r="B25" s="3" t="s">
        <v>49</v>
      </c>
      <c r="C25" t="s">
        <v>648</v>
      </c>
    </row>
    <row r="26" spans="1:3" ht="18.899999999999999" customHeight="1">
      <c r="A26" t="s">
        <v>54</v>
      </c>
      <c r="B26" s="3" t="s">
        <v>53</v>
      </c>
      <c r="C26" s="1" t="s">
        <v>250</v>
      </c>
    </row>
    <row r="27" spans="1:3">
      <c r="A27" t="s">
        <v>55</v>
      </c>
      <c r="B27" s="3" t="s">
        <v>56</v>
      </c>
      <c r="C27" t="s">
        <v>52</v>
      </c>
    </row>
    <row r="28" spans="1:3">
      <c r="A28" t="s">
        <v>57</v>
      </c>
      <c r="B28" s="3" t="s">
        <v>58</v>
      </c>
      <c r="C28" s="3" t="s">
        <v>251</v>
      </c>
    </row>
    <row r="29" spans="1:3">
      <c r="A29" t="s">
        <v>59</v>
      </c>
      <c r="B29" s="3" t="s">
        <v>2</v>
      </c>
      <c r="C29" t="s">
        <v>52</v>
      </c>
    </row>
    <row r="30" spans="1:3">
      <c r="A30" t="s">
        <v>60</v>
      </c>
      <c r="B30" s="3" t="s">
        <v>62</v>
      </c>
      <c r="C30" t="s">
        <v>52</v>
      </c>
    </row>
    <row r="31" spans="1:3">
      <c r="A31" t="s">
        <v>61</v>
      </c>
      <c r="B31" s="3" t="s">
        <v>63</v>
      </c>
      <c r="C31" t="s">
        <v>52</v>
      </c>
    </row>
    <row r="32" spans="1:3">
      <c r="A32" t="s">
        <v>64</v>
      </c>
      <c r="B32" s="3" t="s">
        <v>65</v>
      </c>
      <c r="C32" t="s">
        <v>52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05D0-34CE-4D80-A02F-78A41EC42FFB}">
  <dimension ref="A1:IU78"/>
  <sheetViews>
    <sheetView topLeftCell="A32" zoomScale="70" zoomScaleNormal="70" workbookViewId="0">
      <selection activeCell="C1" sqref="C1:F3"/>
    </sheetView>
  </sheetViews>
  <sheetFormatPr defaultColWidth="7.81640625" defaultRowHeight="13.8"/>
  <cols>
    <col min="1" max="1" width="13.90625" style="246" customWidth="1"/>
    <col min="2" max="2" width="15.90625" style="246" customWidth="1"/>
    <col min="3" max="7" width="13.90625" style="246" customWidth="1"/>
    <col min="8" max="8" width="13.81640625" style="246" customWidth="1"/>
    <col min="9" max="16384" width="7.81640625" style="246"/>
  </cols>
  <sheetData>
    <row r="1" spans="1:12" s="125" customFormat="1" ht="20.100000000000001" customHeight="1">
      <c r="A1" s="286"/>
      <c r="B1" s="286"/>
      <c r="C1" s="289" t="s">
        <v>79</v>
      </c>
      <c r="D1" s="289"/>
      <c r="E1" s="289"/>
      <c r="F1" s="289"/>
      <c r="G1" s="292" t="s">
        <v>699</v>
      </c>
      <c r="H1" s="292"/>
    </row>
    <row r="2" spans="1:12" s="125" customFormat="1" ht="24.9" customHeight="1">
      <c r="A2" s="287"/>
      <c r="B2" s="287"/>
      <c r="C2" s="290"/>
      <c r="D2" s="290"/>
      <c r="E2" s="290"/>
      <c r="F2" s="290"/>
      <c r="G2" s="293" t="s">
        <v>81</v>
      </c>
      <c r="H2" s="293"/>
    </row>
    <row r="3" spans="1:12" s="125" customFormat="1" ht="24.9" customHeight="1" thickBot="1">
      <c r="A3" s="288"/>
      <c r="B3" s="288"/>
      <c r="C3" s="291"/>
      <c r="D3" s="291"/>
      <c r="E3" s="291"/>
      <c r="F3" s="291"/>
      <c r="G3" s="294" t="s">
        <v>82</v>
      </c>
      <c r="H3" s="294"/>
    </row>
    <row r="4" spans="1:12" s="125" customFormat="1" ht="29.1" customHeight="1">
      <c r="A4" s="243" t="s">
        <v>700</v>
      </c>
      <c r="B4" s="244"/>
      <c r="C4" s="244"/>
      <c r="D4" s="245"/>
      <c r="E4" s="244"/>
      <c r="F4" s="244"/>
      <c r="G4" s="244"/>
      <c r="H4" s="147"/>
      <c r="I4" s="246"/>
      <c r="J4" s="246"/>
    </row>
    <row r="5" spans="1:12" s="248" customFormat="1" ht="27" customHeight="1">
      <c r="A5" s="230" t="s">
        <v>701</v>
      </c>
      <c r="B5" s="145"/>
      <c r="C5" s="145"/>
      <c r="D5" s="247"/>
      <c r="E5" s="145"/>
      <c r="F5" s="145"/>
      <c r="G5" s="147"/>
      <c r="H5" s="147"/>
      <c r="I5" s="147"/>
      <c r="J5" s="147"/>
    </row>
    <row r="6" spans="1:12" s="248" customFormat="1" ht="27" customHeight="1">
      <c r="A6" s="230" t="s">
        <v>702</v>
      </c>
      <c r="B6" s="249"/>
      <c r="C6" s="145"/>
      <c r="D6" s="250"/>
      <c r="E6" s="230"/>
      <c r="F6" s="145"/>
      <c r="G6" s="147"/>
      <c r="H6" s="251"/>
      <c r="I6" s="147"/>
      <c r="J6" s="147"/>
    </row>
    <row r="7" spans="1:12" s="248" customFormat="1" ht="27" customHeight="1">
      <c r="A7" s="230" t="s">
        <v>703</v>
      </c>
      <c r="B7" s="145"/>
      <c r="C7" s="230"/>
      <c r="D7" s="230"/>
      <c r="E7" s="230"/>
      <c r="F7" s="145"/>
      <c r="G7" s="147"/>
      <c r="H7" s="147"/>
      <c r="I7" s="147"/>
      <c r="J7" s="147"/>
    </row>
    <row r="8" spans="1:12" s="248" customFormat="1" ht="27" customHeight="1">
      <c r="A8" s="230" t="s">
        <v>704</v>
      </c>
      <c r="B8" s="145"/>
      <c r="C8" s="230"/>
      <c r="D8" s="252"/>
      <c r="E8" s="252"/>
      <c r="F8" s="230" t="s">
        <v>705</v>
      </c>
      <c r="G8" s="253"/>
      <c r="H8" s="253"/>
      <c r="I8" s="147"/>
      <c r="J8" s="147"/>
    </row>
    <row r="9" spans="1:12" s="248" customFormat="1" ht="27" customHeight="1">
      <c r="A9" s="230" t="s">
        <v>706</v>
      </c>
      <c r="B9" s="145"/>
      <c r="C9" s="230"/>
      <c r="D9" s="252"/>
      <c r="E9" s="252"/>
      <c r="F9" s="230" t="s">
        <v>705</v>
      </c>
      <c r="G9" s="253"/>
      <c r="H9" s="253"/>
      <c r="I9" s="147"/>
      <c r="J9" s="147"/>
    </row>
    <row r="10" spans="1:12" s="248" customFormat="1" ht="27" customHeight="1">
      <c r="A10" s="230" t="s">
        <v>707</v>
      </c>
      <c r="B10" s="145"/>
      <c r="C10" s="145"/>
      <c r="D10" s="252"/>
      <c r="E10" s="145"/>
      <c r="F10" s="230" t="s">
        <v>708</v>
      </c>
      <c r="G10" s="147"/>
      <c r="H10" s="147"/>
      <c r="I10" s="147"/>
      <c r="J10" s="147"/>
      <c r="L10" s="248" t="s">
        <v>709</v>
      </c>
    </row>
    <row r="11" spans="1:12" s="125" customFormat="1" ht="37.5" customHeight="1">
      <c r="A11" s="295" t="s">
        <v>710</v>
      </c>
      <c r="B11" s="295"/>
      <c r="C11" s="295"/>
      <c r="D11" s="295"/>
      <c r="E11" s="295"/>
      <c r="F11" s="295"/>
      <c r="G11" s="295"/>
      <c r="H11" s="295"/>
      <c r="I11" s="246"/>
      <c r="J11" s="246"/>
    </row>
    <row r="12" spans="1:12" s="248" customFormat="1" ht="26.25" customHeight="1">
      <c r="A12" s="254" t="s">
        <v>711</v>
      </c>
      <c r="B12" s="145"/>
      <c r="C12" s="145"/>
      <c r="D12" s="247"/>
      <c r="E12" s="255" t="s">
        <v>712</v>
      </c>
      <c r="F12" s="256"/>
      <c r="G12" s="230" t="s">
        <v>713</v>
      </c>
      <c r="H12" s="230"/>
      <c r="I12" s="147"/>
      <c r="J12" s="147"/>
    </row>
    <row r="13" spans="1:12" s="248" customFormat="1" ht="26.25" customHeight="1">
      <c r="A13" s="254" t="s">
        <v>714</v>
      </c>
      <c r="B13" s="145"/>
      <c r="C13" s="145"/>
      <c r="D13" s="250"/>
      <c r="E13" s="230" t="s">
        <v>715</v>
      </c>
      <c r="F13" s="145"/>
      <c r="G13" s="230"/>
      <c r="H13" s="230"/>
      <c r="I13" s="147"/>
      <c r="J13" s="147"/>
    </row>
    <row r="14" spans="1:12" s="248" customFormat="1" ht="26.25" customHeight="1">
      <c r="A14" s="254" t="s">
        <v>716</v>
      </c>
      <c r="B14" s="145"/>
      <c r="C14" s="145"/>
      <c r="D14" s="247"/>
      <c r="E14" s="257" t="s">
        <v>712</v>
      </c>
      <c r="F14" s="256"/>
      <c r="G14" s="258" t="s">
        <v>713</v>
      </c>
      <c r="H14" s="259"/>
      <c r="I14" s="147"/>
      <c r="J14" s="147"/>
    </row>
    <row r="15" spans="1:12" s="248" customFormat="1" ht="26.25" customHeight="1">
      <c r="A15" s="254" t="s">
        <v>717</v>
      </c>
      <c r="B15" s="145"/>
      <c r="C15" s="145"/>
      <c r="D15" s="247"/>
      <c r="E15" s="145"/>
      <c r="F15" s="145"/>
      <c r="G15" s="145"/>
      <c r="H15" s="145"/>
      <c r="I15" s="147"/>
      <c r="J15" s="147"/>
    </row>
    <row r="16" spans="1:12" s="248" customFormat="1" ht="26.25" customHeight="1">
      <c r="A16" s="254" t="s">
        <v>718</v>
      </c>
      <c r="B16" s="145"/>
      <c r="C16" s="145"/>
      <c r="D16" s="247"/>
      <c r="E16" s="145"/>
      <c r="F16" s="145"/>
      <c r="G16" s="145"/>
      <c r="H16" s="145"/>
      <c r="I16" s="147"/>
      <c r="J16" s="147"/>
    </row>
    <row r="17" spans="1:255" s="248" customFormat="1" ht="26.25" customHeight="1">
      <c r="A17" s="230" t="s">
        <v>719</v>
      </c>
      <c r="B17" s="145"/>
      <c r="C17" s="145"/>
      <c r="D17" s="247"/>
      <c r="E17" s="145"/>
      <c r="F17" s="145"/>
      <c r="G17" s="145"/>
      <c r="H17" s="145"/>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c r="CB17" s="147"/>
      <c r="CC17" s="147"/>
      <c r="CD17" s="147"/>
      <c r="CE17" s="147"/>
      <c r="CF17" s="147"/>
      <c r="CG17" s="147"/>
      <c r="CH17" s="147"/>
      <c r="CI17" s="147"/>
      <c r="CJ17" s="147"/>
      <c r="CK17" s="147"/>
      <c r="CL17" s="147"/>
      <c r="CM17" s="147"/>
      <c r="CN17" s="147"/>
      <c r="CO17" s="147"/>
      <c r="CP17" s="147"/>
      <c r="CQ17" s="147"/>
      <c r="CR17" s="147"/>
      <c r="CS17" s="147"/>
      <c r="CT17" s="147"/>
      <c r="CU17" s="147"/>
      <c r="CV17" s="147"/>
      <c r="CW17" s="147"/>
      <c r="CX17" s="147"/>
      <c r="CY17" s="147"/>
      <c r="CZ17" s="147"/>
      <c r="DA17" s="147"/>
      <c r="DB17" s="147"/>
      <c r="DC17" s="147"/>
      <c r="DD17" s="147"/>
      <c r="DE17" s="147"/>
      <c r="DF17" s="147"/>
      <c r="DG17" s="147"/>
      <c r="DH17" s="147"/>
      <c r="DI17" s="147"/>
      <c r="DJ17" s="147"/>
      <c r="DK17" s="147"/>
      <c r="DL17" s="147"/>
      <c r="DM17" s="147"/>
      <c r="DN17" s="147"/>
      <c r="DO17" s="147"/>
      <c r="DP17" s="147"/>
      <c r="DQ17" s="147"/>
      <c r="DR17" s="147"/>
      <c r="DS17" s="147"/>
      <c r="DT17" s="147"/>
      <c r="DU17" s="147"/>
      <c r="DV17" s="147"/>
      <c r="DW17" s="147"/>
      <c r="DX17" s="147"/>
      <c r="DY17" s="147"/>
      <c r="DZ17" s="147"/>
      <c r="EA17" s="147"/>
      <c r="EB17" s="147"/>
      <c r="EC17" s="147"/>
      <c r="ED17" s="147"/>
      <c r="EE17" s="147"/>
      <c r="EF17" s="147"/>
      <c r="EG17" s="147"/>
      <c r="EH17" s="147"/>
      <c r="EI17" s="147"/>
      <c r="EJ17" s="147"/>
      <c r="EK17" s="147"/>
      <c r="EL17" s="147"/>
      <c r="EM17" s="147"/>
      <c r="EN17" s="147"/>
      <c r="EO17" s="147"/>
      <c r="EP17" s="147"/>
      <c r="EQ17" s="147"/>
      <c r="ER17" s="147"/>
      <c r="ES17" s="147"/>
      <c r="ET17" s="147"/>
      <c r="EU17" s="147"/>
      <c r="EV17" s="147"/>
      <c r="EW17" s="147"/>
      <c r="EX17" s="147"/>
      <c r="EY17" s="147"/>
      <c r="EZ17" s="147"/>
      <c r="FA17" s="147"/>
      <c r="FB17" s="147"/>
      <c r="FC17" s="147"/>
      <c r="FD17" s="147"/>
      <c r="FE17" s="147"/>
      <c r="FF17" s="147"/>
      <c r="FG17" s="147"/>
      <c r="FH17" s="147"/>
      <c r="FI17" s="147"/>
      <c r="FJ17" s="147"/>
      <c r="FK17" s="147"/>
      <c r="FL17" s="147"/>
      <c r="FM17" s="147"/>
      <c r="FN17" s="147"/>
      <c r="FO17" s="147"/>
      <c r="FP17" s="147"/>
      <c r="FQ17" s="147"/>
      <c r="FR17" s="147"/>
      <c r="FS17" s="147"/>
      <c r="FT17" s="147"/>
      <c r="FU17" s="147"/>
      <c r="FV17" s="147"/>
      <c r="FW17" s="147"/>
      <c r="FX17" s="147"/>
      <c r="FY17" s="147"/>
      <c r="FZ17" s="147"/>
      <c r="GA17" s="147"/>
      <c r="GB17" s="147"/>
      <c r="GC17" s="147"/>
      <c r="GD17" s="147"/>
      <c r="GE17" s="147"/>
      <c r="GF17" s="147"/>
      <c r="GG17" s="147"/>
      <c r="GH17" s="147"/>
      <c r="GI17" s="147"/>
      <c r="GJ17" s="147"/>
      <c r="GK17" s="147"/>
      <c r="GL17" s="147"/>
      <c r="GM17" s="147"/>
      <c r="GN17" s="147"/>
      <c r="GO17" s="147"/>
      <c r="GP17" s="147"/>
      <c r="GQ17" s="147"/>
      <c r="GR17" s="147"/>
      <c r="GS17" s="147"/>
      <c r="GT17" s="147"/>
      <c r="GU17" s="147"/>
      <c r="GV17" s="147"/>
      <c r="GW17" s="147"/>
      <c r="GX17" s="147"/>
      <c r="GY17" s="147"/>
      <c r="GZ17" s="147"/>
      <c r="HA17" s="147"/>
      <c r="HB17" s="147"/>
      <c r="HC17" s="147"/>
      <c r="HD17" s="147"/>
      <c r="HE17" s="147"/>
      <c r="HF17" s="147"/>
      <c r="HG17" s="147"/>
      <c r="HH17" s="147"/>
      <c r="HI17" s="147"/>
      <c r="HJ17" s="147"/>
      <c r="HK17" s="147"/>
      <c r="HL17" s="147"/>
      <c r="HM17" s="147"/>
      <c r="HN17" s="147"/>
      <c r="HO17" s="147"/>
      <c r="HP17" s="147"/>
      <c r="HQ17" s="147"/>
      <c r="HR17" s="147"/>
      <c r="HS17" s="147"/>
      <c r="HT17" s="147"/>
      <c r="HU17" s="147"/>
      <c r="HV17" s="147"/>
      <c r="HW17" s="147"/>
      <c r="HX17" s="147"/>
      <c r="HY17" s="147"/>
      <c r="HZ17" s="147"/>
      <c r="IA17" s="147"/>
      <c r="IB17" s="147"/>
      <c r="IC17" s="147"/>
      <c r="ID17" s="147"/>
      <c r="IE17" s="147"/>
      <c r="IF17" s="147"/>
      <c r="IG17" s="147"/>
      <c r="IH17" s="147"/>
      <c r="II17" s="147"/>
      <c r="IJ17" s="147"/>
      <c r="IK17" s="147"/>
      <c r="IL17" s="147"/>
      <c r="IM17" s="147"/>
      <c r="IN17" s="147"/>
      <c r="IO17" s="147"/>
      <c r="IP17" s="147"/>
      <c r="IQ17" s="147"/>
      <c r="IR17" s="147"/>
      <c r="IS17" s="147"/>
      <c r="IT17" s="147"/>
      <c r="IU17" s="147"/>
    </row>
    <row r="18" spans="1:255" s="248" customFormat="1" ht="26.25" customHeight="1">
      <c r="A18" s="254" t="s">
        <v>720</v>
      </c>
      <c r="B18" s="145"/>
      <c r="C18" s="145"/>
      <c r="D18" s="247"/>
      <c r="E18" s="145"/>
      <c r="F18" s="145" t="s">
        <v>721</v>
      </c>
      <c r="H18" s="145"/>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7"/>
      <c r="BK18" s="147"/>
      <c r="BL18" s="147"/>
      <c r="BM18" s="147"/>
      <c r="BN18" s="147"/>
      <c r="BO18" s="147"/>
      <c r="BP18" s="147"/>
      <c r="BQ18" s="147"/>
      <c r="BR18" s="147"/>
      <c r="BS18" s="147"/>
      <c r="BT18" s="147"/>
      <c r="BU18" s="147"/>
      <c r="BV18" s="147"/>
      <c r="BW18" s="147"/>
      <c r="BX18" s="147"/>
      <c r="BY18" s="147"/>
      <c r="BZ18" s="147"/>
      <c r="CA18" s="147"/>
      <c r="CB18" s="147"/>
      <c r="CC18" s="147"/>
      <c r="CD18" s="147"/>
      <c r="CE18" s="147"/>
      <c r="CF18" s="147"/>
      <c r="CG18" s="147"/>
      <c r="CH18" s="147"/>
      <c r="CI18" s="147"/>
      <c r="CJ18" s="147"/>
      <c r="CK18" s="147"/>
      <c r="CL18" s="147"/>
      <c r="CM18" s="147"/>
      <c r="CN18" s="147"/>
      <c r="CO18" s="147"/>
      <c r="CP18" s="147"/>
      <c r="CQ18" s="147"/>
      <c r="CR18" s="147"/>
      <c r="CS18" s="147"/>
      <c r="CT18" s="147"/>
      <c r="CU18" s="147"/>
      <c r="CV18" s="147"/>
      <c r="CW18" s="147"/>
      <c r="CX18" s="147"/>
      <c r="CY18" s="147"/>
      <c r="CZ18" s="147"/>
      <c r="DA18" s="147"/>
      <c r="DB18" s="147"/>
      <c r="DC18" s="147"/>
      <c r="DD18" s="147"/>
      <c r="DE18" s="147"/>
      <c r="DF18" s="147"/>
      <c r="DG18" s="147"/>
      <c r="DH18" s="147"/>
      <c r="DI18" s="147"/>
      <c r="DJ18" s="147"/>
      <c r="DK18" s="147"/>
      <c r="DL18" s="147"/>
      <c r="DM18" s="147"/>
      <c r="DN18" s="147"/>
      <c r="DO18" s="147"/>
      <c r="DP18" s="147"/>
      <c r="DQ18" s="147"/>
      <c r="DR18" s="147"/>
      <c r="DS18" s="147"/>
      <c r="DT18" s="147"/>
      <c r="DU18" s="147"/>
      <c r="DV18" s="147"/>
      <c r="DW18" s="147"/>
      <c r="DX18" s="147"/>
      <c r="DY18" s="147"/>
      <c r="DZ18" s="147"/>
      <c r="EA18" s="147"/>
      <c r="EB18" s="147"/>
      <c r="EC18" s="147"/>
      <c r="ED18" s="147"/>
      <c r="EE18" s="147"/>
      <c r="EF18" s="147"/>
      <c r="EG18" s="147"/>
      <c r="EH18" s="147"/>
      <c r="EI18" s="147"/>
      <c r="EJ18" s="147"/>
      <c r="EK18" s="147"/>
      <c r="EL18" s="147"/>
      <c r="EM18" s="147"/>
      <c r="EN18" s="147"/>
      <c r="EO18" s="147"/>
      <c r="EP18" s="147"/>
      <c r="EQ18" s="147"/>
      <c r="ER18" s="147"/>
      <c r="ES18" s="147"/>
      <c r="ET18" s="147"/>
      <c r="EU18" s="147"/>
      <c r="EV18" s="147"/>
      <c r="EW18" s="147"/>
      <c r="EX18" s="147"/>
      <c r="EY18" s="147"/>
      <c r="EZ18" s="147"/>
      <c r="FA18" s="147"/>
      <c r="FB18" s="147"/>
      <c r="FC18" s="147"/>
      <c r="FD18" s="147"/>
      <c r="FE18" s="147"/>
      <c r="FF18" s="147"/>
      <c r="FG18" s="147"/>
      <c r="FH18" s="147"/>
      <c r="FI18" s="147"/>
      <c r="FJ18" s="147"/>
      <c r="FK18" s="147"/>
      <c r="FL18" s="147"/>
      <c r="FM18" s="147"/>
      <c r="FN18" s="147"/>
      <c r="FO18" s="147"/>
      <c r="FP18" s="147"/>
      <c r="FQ18" s="147"/>
      <c r="FR18" s="147"/>
      <c r="FS18" s="147"/>
      <c r="FT18" s="147"/>
      <c r="FU18" s="147"/>
      <c r="FV18" s="147"/>
      <c r="FW18" s="147"/>
      <c r="FX18" s="147"/>
      <c r="FY18" s="147"/>
      <c r="FZ18" s="147"/>
      <c r="GA18" s="147"/>
      <c r="GB18" s="147"/>
      <c r="GC18" s="147"/>
      <c r="GD18" s="147"/>
      <c r="GE18" s="147"/>
      <c r="GF18" s="147"/>
      <c r="GG18" s="147"/>
      <c r="GH18" s="147"/>
      <c r="GI18" s="147"/>
      <c r="GJ18" s="147"/>
      <c r="GK18" s="147"/>
      <c r="GL18" s="147"/>
      <c r="GM18" s="147"/>
      <c r="GN18" s="147"/>
      <c r="GO18" s="147"/>
      <c r="GP18" s="147"/>
      <c r="GQ18" s="147"/>
      <c r="GR18" s="147"/>
      <c r="GS18" s="147"/>
      <c r="GT18" s="147"/>
      <c r="GU18" s="147"/>
      <c r="GV18" s="147"/>
      <c r="GW18" s="147"/>
      <c r="GX18" s="147"/>
      <c r="GY18" s="147"/>
      <c r="GZ18" s="147"/>
      <c r="HA18" s="147"/>
      <c r="HB18" s="147"/>
      <c r="HC18" s="147"/>
      <c r="HD18" s="147"/>
      <c r="HE18" s="147"/>
      <c r="HF18" s="147"/>
      <c r="HG18" s="147"/>
      <c r="HH18" s="147"/>
      <c r="HI18" s="147"/>
      <c r="HJ18" s="147"/>
      <c r="HK18" s="147"/>
      <c r="HL18" s="147"/>
      <c r="HM18" s="147"/>
      <c r="HN18" s="147"/>
      <c r="HO18" s="147"/>
      <c r="HP18" s="147"/>
      <c r="HQ18" s="147"/>
      <c r="HR18" s="147"/>
      <c r="HS18" s="147"/>
      <c r="HT18" s="147"/>
      <c r="HU18" s="147"/>
      <c r="HV18" s="147"/>
      <c r="HW18" s="147"/>
      <c r="HX18" s="147"/>
      <c r="HY18" s="147"/>
      <c r="HZ18" s="147"/>
      <c r="IA18" s="147"/>
      <c r="IB18" s="147"/>
      <c r="IC18" s="147"/>
      <c r="ID18" s="147"/>
      <c r="IE18" s="147"/>
      <c r="IF18" s="147"/>
      <c r="IG18" s="147"/>
      <c r="IH18" s="147"/>
      <c r="II18" s="147"/>
      <c r="IJ18" s="147"/>
      <c r="IK18" s="147"/>
      <c r="IL18" s="147"/>
      <c r="IM18" s="147"/>
      <c r="IN18" s="147"/>
      <c r="IO18" s="147"/>
      <c r="IP18" s="147"/>
      <c r="IQ18" s="147"/>
      <c r="IR18" s="147"/>
      <c r="IS18" s="147"/>
      <c r="IT18" s="147"/>
      <c r="IU18" s="147"/>
    </row>
    <row r="19" spans="1:255" s="260" customFormat="1" ht="26.25" customHeight="1">
      <c r="A19" s="230" t="s">
        <v>722</v>
      </c>
      <c r="B19" s="230"/>
      <c r="C19" s="230"/>
      <c r="D19" s="250"/>
      <c r="E19" s="230"/>
      <c r="F19" s="145" t="s">
        <v>721</v>
      </c>
      <c r="H19" s="230"/>
      <c r="I19" s="146"/>
      <c r="J19" s="147"/>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c r="ER19" s="146"/>
      <c r="ES19" s="146"/>
      <c r="ET19" s="146"/>
      <c r="EU19" s="146"/>
      <c r="EV19" s="146"/>
      <c r="EW19" s="146"/>
      <c r="EX19" s="146"/>
      <c r="EY19" s="146"/>
      <c r="EZ19" s="146"/>
      <c r="FA19" s="146"/>
      <c r="FB19" s="146"/>
      <c r="FC19" s="146"/>
      <c r="FD19" s="146"/>
      <c r="FE19" s="146"/>
      <c r="FF19" s="146"/>
      <c r="FG19" s="146"/>
      <c r="FH19" s="146"/>
      <c r="FI19" s="146"/>
      <c r="FJ19" s="146"/>
      <c r="FK19" s="146"/>
      <c r="FL19" s="146"/>
      <c r="FM19" s="146"/>
      <c r="FN19" s="146"/>
      <c r="FO19" s="146"/>
      <c r="FP19" s="146"/>
      <c r="FQ19" s="146"/>
      <c r="FR19" s="146"/>
      <c r="FS19" s="146"/>
      <c r="FT19" s="146"/>
      <c r="FU19" s="146"/>
      <c r="FV19" s="146"/>
      <c r="FW19" s="146"/>
      <c r="FX19" s="146"/>
      <c r="FY19" s="146"/>
      <c r="FZ19" s="146"/>
      <c r="GA19" s="146"/>
      <c r="GB19" s="146"/>
      <c r="GC19" s="146"/>
      <c r="GD19" s="146"/>
      <c r="GE19" s="146"/>
      <c r="GF19" s="146"/>
      <c r="GG19" s="146"/>
      <c r="GH19" s="146"/>
      <c r="GI19" s="146"/>
      <c r="GJ19" s="146"/>
      <c r="GK19" s="146"/>
      <c r="GL19" s="146"/>
      <c r="GM19" s="146"/>
      <c r="GN19" s="146"/>
      <c r="GO19" s="146"/>
      <c r="GP19" s="146"/>
      <c r="GQ19" s="146"/>
      <c r="GR19" s="146"/>
      <c r="GS19" s="146"/>
      <c r="GT19" s="146"/>
      <c r="GU19" s="146"/>
      <c r="GV19" s="146"/>
      <c r="GW19" s="146"/>
      <c r="GX19" s="146"/>
      <c r="GY19" s="146"/>
      <c r="GZ19" s="146"/>
      <c r="HA19" s="146"/>
      <c r="HB19" s="146"/>
      <c r="HC19" s="146"/>
      <c r="HD19" s="146"/>
      <c r="HE19" s="146"/>
      <c r="HF19" s="146"/>
      <c r="HG19" s="146"/>
      <c r="HH19" s="146"/>
      <c r="HI19" s="146"/>
      <c r="HJ19" s="146"/>
      <c r="HK19" s="146"/>
      <c r="HL19" s="146"/>
      <c r="HM19" s="146"/>
      <c r="HN19" s="146"/>
      <c r="HO19" s="146"/>
      <c r="HP19" s="146"/>
      <c r="HQ19" s="146"/>
      <c r="HR19" s="146"/>
      <c r="HS19" s="146"/>
      <c r="HT19" s="146"/>
      <c r="HU19" s="146"/>
      <c r="HV19" s="146"/>
      <c r="HW19" s="146"/>
      <c r="HX19" s="146"/>
      <c r="HY19" s="146"/>
      <c r="HZ19" s="146"/>
      <c r="IA19" s="146"/>
      <c r="IB19" s="146"/>
      <c r="IC19" s="146"/>
      <c r="ID19" s="146"/>
      <c r="IE19" s="146"/>
      <c r="IF19" s="146"/>
      <c r="IG19" s="146"/>
      <c r="IH19" s="146"/>
      <c r="II19" s="146"/>
      <c r="IJ19" s="146"/>
      <c r="IK19" s="146"/>
      <c r="IL19" s="146"/>
      <c r="IM19" s="146"/>
      <c r="IN19" s="146"/>
      <c r="IO19" s="146"/>
      <c r="IP19" s="146"/>
      <c r="IQ19" s="146"/>
      <c r="IR19" s="146"/>
      <c r="IS19" s="146"/>
      <c r="IT19" s="146"/>
      <c r="IU19" s="146"/>
    </row>
    <row r="20" spans="1:255" s="248" customFormat="1" ht="26.25" customHeight="1">
      <c r="A20" s="254" t="s">
        <v>723</v>
      </c>
      <c r="B20" s="145"/>
      <c r="C20" s="145"/>
      <c r="D20" s="247"/>
      <c r="E20" s="145"/>
      <c r="F20" s="145" t="s">
        <v>724</v>
      </c>
      <c r="H20" s="145"/>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c r="DG20" s="147"/>
      <c r="DH20" s="147"/>
      <c r="DI20" s="147"/>
      <c r="DJ20" s="147"/>
      <c r="DK20" s="147"/>
      <c r="DL20" s="147"/>
      <c r="DM20" s="147"/>
      <c r="DN20" s="147"/>
      <c r="DO20" s="147"/>
      <c r="DP20" s="147"/>
      <c r="DQ20" s="147"/>
      <c r="DR20" s="147"/>
      <c r="DS20" s="147"/>
      <c r="DT20" s="147"/>
      <c r="DU20" s="147"/>
      <c r="DV20" s="147"/>
      <c r="DW20" s="147"/>
      <c r="DX20" s="147"/>
      <c r="DY20" s="147"/>
      <c r="DZ20" s="147"/>
      <c r="EA20" s="147"/>
      <c r="EB20" s="147"/>
      <c r="EC20" s="147"/>
      <c r="ED20" s="147"/>
      <c r="EE20" s="147"/>
      <c r="EF20" s="147"/>
      <c r="EG20" s="147"/>
      <c r="EH20" s="147"/>
      <c r="EI20" s="147"/>
      <c r="EJ20" s="147"/>
      <c r="EK20" s="147"/>
      <c r="EL20" s="147"/>
      <c r="EM20" s="147"/>
      <c r="EN20" s="147"/>
      <c r="EO20" s="147"/>
      <c r="EP20" s="147"/>
      <c r="EQ20" s="147"/>
      <c r="ER20" s="147"/>
      <c r="ES20" s="147"/>
      <c r="ET20" s="147"/>
      <c r="EU20" s="147"/>
      <c r="EV20" s="147"/>
      <c r="EW20" s="147"/>
      <c r="EX20" s="147"/>
      <c r="EY20" s="147"/>
      <c r="EZ20" s="147"/>
      <c r="FA20" s="147"/>
      <c r="FB20" s="147"/>
      <c r="FC20" s="147"/>
      <c r="FD20" s="147"/>
      <c r="FE20" s="147"/>
      <c r="FF20" s="147"/>
      <c r="FG20" s="147"/>
      <c r="FH20" s="147"/>
      <c r="FI20" s="147"/>
      <c r="FJ20" s="147"/>
      <c r="FK20" s="147"/>
      <c r="FL20" s="147"/>
      <c r="FM20" s="147"/>
      <c r="FN20" s="147"/>
      <c r="FO20" s="147"/>
      <c r="FP20" s="147"/>
      <c r="FQ20" s="147"/>
      <c r="FR20" s="147"/>
      <c r="FS20" s="147"/>
      <c r="FT20" s="147"/>
      <c r="FU20" s="147"/>
      <c r="FV20" s="147"/>
      <c r="FW20" s="147"/>
      <c r="FX20" s="147"/>
      <c r="FY20" s="147"/>
      <c r="FZ20" s="147"/>
      <c r="GA20" s="147"/>
      <c r="GB20" s="147"/>
      <c r="GC20" s="147"/>
      <c r="GD20" s="147"/>
      <c r="GE20" s="147"/>
      <c r="GF20" s="147"/>
      <c r="GG20" s="147"/>
      <c r="GH20" s="147"/>
      <c r="GI20" s="147"/>
      <c r="GJ20" s="147"/>
      <c r="GK20" s="147"/>
      <c r="GL20" s="147"/>
      <c r="GM20" s="147"/>
      <c r="GN20" s="147"/>
      <c r="GO20" s="147"/>
      <c r="GP20" s="147"/>
      <c r="GQ20" s="147"/>
      <c r="GR20" s="147"/>
      <c r="GS20" s="147"/>
      <c r="GT20" s="147"/>
      <c r="GU20" s="147"/>
      <c r="GV20" s="147"/>
      <c r="GW20" s="147"/>
      <c r="GX20" s="147"/>
      <c r="GY20" s="147"/>
      <c r="GZ20" s="147"/>
      <c r="HA20" s="147"/>
      <c r="HB20" s="147"/>
      <c r="HC20" s="147"/>
      <c r="HD20" s="147"/>
      <c r="HE20" s="147"/>
      <c r="HF20" s="147"/>
      <c r="HG20" s="147"/>
      <c r="HH20" s="147"/>
      <c r="HI20" s="147"/>
      <c r="HJ20" s="147"/>
      <c r="HK20" s="147"/>
      <c r="HL20" s="147"/>
      <c r="HM20" s="147"/>
      <c r="HN20" s="147"/>
      <c r="HO20" s="147"/>
      <c r="HP20" s="147"/>
      <c r="HQ20" s="147"/>
      <c r="HR20" s="147"/>
      <c r="HS20" s="147"/>
      <c r="HT20" s="147"/>
      <c r="HU20" s="147"/>
      <c r="HV20" s="147"/>
      <c r="HW20" s="147"/>
      <c r="HX20" s="147"/>
      <c r="HY20" s="147"/>
      <c r="HZ20" s="147"/>
      <c r="IA20" s="147"/>
      <c r="IB20" s="147"/>
      <c r="IC20" s="147"/>
      <c r="ID20" s="147"/>
      <c r="IE20" s="147"/>
      <c r="IF20" s="147"/>
      <c r="IG20" s="147"/>
      <c r="IH20" s="147"/>
      <c r="II20" s="147"/>
      <c r="IJ20" s="147"/>
      <c r="IK20" s="147"/>
      <c r="IL20" s="147"/>
      <c r="IM20" s="147"/>
      <c r="IN20" s="147"/>
      <c r="IO20" s="147"/>
      <c r="IP20" s="147"/>
      <c r="IQ20" s="147"/>
      <c r="IR20" s="147"/>
      <c r="IS20" s="147"/>
      <c r="IT20" s="147"/>
      <c r="IU20" s="147"/>
    </row>
    <row r="21" spans="1:255" s="248" customFormat="1" ht="26.25" customHeight="1">
      <c r="A21" s="254" t="s">
        <v>725</v>
      </c>
      <c r="B21" s="145"/>
      <c r="C21" s="145"/>
      <c r="D21" s="247"/>
      <c r="E21" s="145"/>
      <c r="F21" s="261"/>
      <c r="G21" s="145"/>
      <c r="H21" s="145"/>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7"/>
      <c r="BK21" s="147"/>
      <c r="BL21" s="147"/>
      <c r="BM21" s="147"/>
      <c r="BN21" s="147"/>
      <c r="BO21" s="147"/>
      <c r="BP21" s="147"/>
      <c r="BQ21" s="147"/>
      <c r="BR21" s="147"/>
      <c r="BS21" s="147"/>
      <c r="BT21" s="147"/>
      <c r="BU21" s="147"/>
      <c r="BV21" s="147"/>
      <c r="BW21" s="147"/>
      <c r="BX21" s="147"/>
      <c r="BY21" s="147"/>
      <c r="BZ21" s="147"/>
      <c r="CA21" s="147"/>
      <c r="CB21" s="147"/>
      <c r="CC21" s="147"/>
      <c r="CD21" s="147"/>
      <c r="CE21" s="147"/>
      <c r="CF21" s="147"/>
      <c r="CG21" s="147"/>
      <c r="CH21" s="147"/>
      <c r="CI21" s="147"/>
      <c r="CJ21" s="147"/>
      <c r="CK21" s="147"/>
      <c r="CL21" s="147"/>
      <c r="CM21" s="147"/>
      <c r="CN21" s="147"/>
      <c r="CO21" s="147"/>
      <c r="CP21" s="147"/>
      <c r="CQ21" s="147"/>
      <c r="CR21" s="147"/>
      <c r="CS21" s="147"/>
      <c r="CT21" s="147"/>
      <c r="CU21" s="147"/>
      <c r="CV21" s="147"/>
      <c r="CW21" s="147"/>
      <c r="CX21" s="147"/>
      <c r="CY21" s="147"/>
      <c r="CZ21" s="147"/>
      <c r="DA21" s="147"/>
      <c r="DB21" s="147"/>
      <c r="DC21" s="147"/>
      <c r="DD21" s="147"/>
      <c r="DE21" s="147"/>
      <c r="DF21" s="147"/>
      <c r="DG21" s="147"/>
      <c r="DH21" s="147"/>
      <c r="DI21" s="147"/>
      <c r="DJ21" s="147"/>
      <c r="DK21" s="147"/>
      <c r="DL21" s="147"/>
      <c r="DM21" s="147"/>
      <c r="DN21" s="147"/>
      <c r="DO21" s="147"/>
      <c r="DP21" s="147"/>
      <c r="DQ21" s="147"/>
      <c r="DR21" s="147"/>
      <c r="DS21" s="147"/>
      <c r="DT21" s="147"/>
      <c r="DU21" s="147"/>
      <c r="DV21" s="147"/>
      <c r="DW21" s="147"/>
      <c r="DX21" s="147"/>
      <c r="DY21" s="147"/>
      <c r="DZ21" s="147"/>
      <c r="EA21" s="147"/>
      <c r="EB21" s="147"/>
      <c r="EC21" s="147"/>
      <c r="ED21" s="147"/>
      <c r="EE21" s="147"/>
      <c r="EF21" s="147"/>
      <c r="EG21" s="147"/>
      <c r="EH21" s="147"/>
      <c r="EI21" s="147"/>
      <c r="EJ21" s="147"/>
      <c r="EK21" s="147"/>
      <c r="EL21" s="147"/>
      <c r="EM21" s="147"/>
      <c r="EN21" s="147"/>
      <c r="EO21" s="147"/>
      <c r="EP21" s="147"/>
      <c r="EQ21" s="147"/>
      <c r="ER21" s="147"/>
      <c r="ES21" s="147"/>
      <c r="ET21" s="147"/>
      <c r="EU21" s="147"/>
      <c r="EV21" s="147"/>
      <c r="EW21" s="147"/>
      <c r="EX21" s="147"/>
      <c r="EY21" s="147"/>
      <c r="EZ21" s="147"/>
      <c r="FA21" s="147"/>
      <c r="FB21" s="147"/>
      <c r="FC21" s="147"/>
      <c r="FD21" s="147"/>
      <c r="FE21" s="147"/>
      <c r="FF21" s="147"/>
      <c r="FG21" s="147"/>
      <c r="FH21" s="147"/>
      <c r="FI21" s="147"/>
      <c r="FJ21" s="147"/>
      <c r="FK21" s="147"/>
      <c r="FL21" s="147"/>
      <c r="FM21" s="147"/>
      <c r="FN21" s="147"/>
      <c r="FO21" s="147"/>
      <c r="FP21" s="147"/>
      <c r="FQ21" s="147"/>
      <c r="FR21" s="147"/>
      <c r="FS21" s="147"/>
      <c r="FT21" s="147"/>
      <c r="FU21" s="147"/>
      <c r="FV21" s="147"/>
      <c r="FW21" s="147"/>
      <c r="FX21" s="147"/>
      <c r="FY21" s="147"/>
      <c r="FZ21" s="147"/>
      <c r="GA21" s="147"/>
      <c r="GB21" s="147"/>
      <c r="GC21" s="147"/>
      <c r="GD21" s="147"/>
      <c r="GE21" s="147"/>
      <c r="GF21" s="147"/>
      <c r="GG21" s="147"/>
      <c r="GH21" s="147"/>
      <c r="GI21" s="147"/>
      <c r="GJ21" s="147"/>
      <c r="GK21" s="147"/>
      <c r="GL21" s="147"/>
      <c r="GM21" s="147"/>
      <c r="GN21" s="147"/>
      <c r="GO21" s="147"/>
      <c r="GP21" s="147"/>
      <c r="GQ21" s="147"/>
      <c r="GR21" s="147"/>
      <c r="GS21" s="147"/>
      <c r="GT21" s="147"/>
      <c r="GU21" s="147"/>
      <c r="GV21" s="147"/>
      <c r="GW21" s="147"/>
      <c r="GX21" s="147"/>
      <c r="GY21" s="147"/>
      <c r="GZ21" s="147"/>
      <c r="HA21" s="147"/>
      <c r="HB21" s="147"/>
      <c r="HC21" s="147"/>
      <c r="HD21" s="147"/>
      <c r="HE21" s="147"/>
      <c r="HF21" s="147"/>
      <c r="HG21" s="147"/>
      <c r="HH21" s="147"/>
      <c r="HI21" s="147"/>
      <c r="HJ21" s="147"/>
      <c r="HK21" s="147"/>
      <c r="HL21" s="147"/>
      <c r="HM21" s="147"/>
      <c r="HN21" s="147"/>
      <c r="HO21" s="147"/>
      <c r="HP21" s="147"/>
      <c r="HQ21" s="147"/>
      <c r="HR21" s="147"/>
      <c r="HS21" s="147"/>
      <c r="HT21" s="147"/>
      <c r="HU21" s="147"/>
      <c r="HV21" s="147"/>
      <c r="HW21" s="147"/>
      <c r="HX21" s="147"/>
      <c r="HY21" s="147"/>
      <c r="HZ21" s="147"/>
      <c r="IA21" s="147"/>
      <c r="IB21" s="147"/>
      <c r="IC21" s="147"/>
      <c r="ID21" s="147"/>
      <c r="IE21" s="147"/>
      <c r="IF21" s="147"/>
      <c r="IG21" s="147"/>
      <c r="IH21" s="147"/>
      <c r="II21" s="147"/>
      <c r="IJ21" s="147"/>
      <c r="IK21" s="147"/>
      <c r="IL21" s="147"/>
      <c r="IM21" s="147"/>
      <c r="IN21" s="147"/>
      <c r="IO21" s="147"/>
      <c r="IP21" s="147"/>
      <c r="IQ21" s="147"/>
      <c r="IR21" s="147"/>
      <c r="IS21" s="147"/>
      <c r="IT21" s="147"/>
      <c r="IU21" s="147"/>
    </row>
    <row r="22" spans="1:255" s="248" customFormat="1" ht="26.25" customHeight="1">
      <c r="A22" s="254" t="s">
        <v>726</v>
      </c>
      <c r="B22" s="145"/>
      <c r="C22" s="145" t="s">
        <v>727</v>
      </c>
      <c r="D22" s="247"/>
      <c r="E22" s="145"/>
      <c r="F22" s="145"/>
      <c r="G22" s="145"/>
      <c r="H22" s="145"/>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7"/>
      <c r="CE22" s="147"/>
      <c r="CF22" s="147"/>
      <c r="CG22" s="147"/>
      <c r="CH22" s="147"/>
      <c r="CI22" s="147"/>
      <c r="CJ22" s="147"/>
      <c r="CK22" s="147"/>
      <c r="CL22" s="147"/>
      <c r="CM22" s="147"/>
      <c r="CN22" s="147"/>
      <c r="CO22" s="147"/>
      <c r="CP22" s="147"/>
      <c r="CQ22" s="147"/>
      <c r="CR22" s="147"/>
      <c r="CS22" s="147"/>
      <c r="CT22" s="147"/>
      <c r="CU22" s="147"/>
      <c r="CV22" s="147"/>
      <c r="CW22" s="147"/>
      <c r="CX22" s="147"/>
      <c r="CY22" s="147"/>
      <c r="CZ22" s="147"/>
      <c r="DA22" s="147"/>
      <c r="DB22" s="147"/>
      <c r="DC22" s="147"/>
      <c r="DD22" s="147"/>
      <c r="DE22" s="147"/>
      <c r="DF22" s="147"/>
      <c r="DG22" s="147"/>
      <c r="DH22" s="147"/>
      <c r="DI22" s="147"/>
      <c r="DJ22" s="147"/>
      <c r="DK22" s="147"/>
      <c r="DL22" s="147"/>
      <c r="DM22" s="147"/>
      <c r="DN22" s="147"/>
      <c r="DO22" s="147"/>
      <c r="DP22" s="147"/>
      <c r="DQ22" s="147"/>
      <c r="DR22" s="147"/>
      <c r="DS22" s="147"/>
      <c r="DT22" s="147"/>
      <c r="DU22" s="147"/>
      <c r="DV22" s="147"/>
      <c r="DW22" s="147"/>
      <c r="DX22" s="147"/>
      <c r="DY22" s="147"/>
      <c r="DZ22" s="147"/>
      <c r="EA22" s="147"/>
      <c r="EB22" s="147"/>
      <c r="EC22" s="147"/>
      <c r="ED22" s="147"/>
      <c r="EE22" s="147"/>
      <c r="EF22" s="147"/>
      <c r="EG22" s="147"/>
      <c r="EH22" s="147"/>
      <c r="EI22" s="147"/>
      <c r="EJ22" s="147"/>
      <c r="EK22" s="147"/>
      <c r="EL22" s="147"/>
      <c r="EM22" s="147"/>
      <c r="EN22" s="147"/>
      <c r="EO22" s="147"/>
      <c r="EP22" s="147"/>
      <c r="EQ22" s="147"/>
      <c r="ER22" s="147"/>
      <c r="ES22" s="147"/>
      <c r="ET22" s="147"/>
      <c r="EU22" s="147"/>
      <c r="EV22" s="147"/>
      <c r="EW22" s="147"/>
      <c r="EX22" s="147"/>
      <c r="EY22" s="147"/>
      <c r="EZ22" s="147"/>
      <c r="FA22" s="147"/>
      <c r="FB22" s="147"/>
      <c r="FC22" s="147"/>
      <c r="FD22" s="147"/>
      <c r="FE22" s="147"/>
      <c r="FF22" s="147"/>
      <c r="FG22" s="147"/>
      <c r="FH22" s="147"/>
      <c r="FI22" s="147"/>
      <c r="FJ22" s="147"/>
      <c r="FK22" s="147"/>
      <c r="FL22" s="147"/>
      <c r="FM22" s="147"/>
      <c r="FN22" s="147"/>
      <c r="FO22" s="147"/>
      <c r="FP22" s="147"/>
      <c r="FQ22" s="147"/>
      <c r="FR22" s="147"/>
      <c r="FS22" s="147"/>
      <c r="FT22" s="147"/>
      <c r="FU22" s="147"/>
      <c r="FV22" s="147"/>
      <c r="FW22" s="147"/>
      <c r="FX22" s="147"/>
      <c r="FY22" s="147"/>
      <c r="FZ22" s="147"/>
      <c r="GA22" s="147"/>
      <c r="GB22" s="147"/>
      <c r="GC22" s="147"/>
      <c r="GD22" s="147"/>
      <c r="GE22" s="147"/>
      <c r="GF22" s="147"/>
      <c r="GG22" s="147"/>
      <c r="GH22" s="147"/>
      <c r="GI22" s="147"/>
      <c r="GJ22" s="147"/>
      <c r="GK22" s="147"/>
      <c r="GL22" s="147"/>
      <c r="GM22" s="147"/>
      <c r="GN22" s="147"/>
      <c r="GO22" s="147"/>
      <c r="GP22" s="147"/>
      <c r="GQ22" s="147"/>
      <c r="GR22" s="147"/>
      <c r="GS22" s="147"/>
      <c r="GT22" s="147"/>
      <c r="GU22" s="147"/>
      <c r="GV22" s="147"/>
      <c r="GW22" s="147"/>
      <c r="GX22" s="147"/>
      <c r="GY22" s="147"/>
      <c r="GZ22" s="147"/>
      <c r="HA22" s="147"/>
      <c r="HB22" s="147"/>
      <c r="HC22" s="147"/>
      <c r="HD22" s="147"/>
      <c r="HE22" s="147"/>
      <c r="HF22" s="147"/>
      <c r="HG22" s="147"/>
      <c r="HH22" s="147"/>
      <c r="HI22" s="147"/>
      <c r="HJ22" s="147"/>
      <c r="HK22" s="147"/>
      <c r="HL22" s="147"/>
      <c r="HM22" s="147"/>
      <c r="HN22" s="147"/>
      <c r="HO22" s="147"/>
      <c r="HP22" s="147"/>
      <c r="HQ22" s="147"/>
      <c r="HR22" s="147"/>
      <c r="HS22" s="147"/>
      <c r="HT22" s="147"/>
      <c r="HU22" s="147"/>
      <c r="HV22" s="147"/>
      <c r="HW22" s="147"/>
      <c r="HX22" s="147"/>
      <c r="HY22" s="147"/>
      <c r="HZ22" s="147"/>
      <c r="IA22" s="147"/>
      <c r="IB22" s="147"/>
      <c r="IC22" s="147"/>
      <c r="ID22" s="147"/>
      <c r="IE22" s="147"/>
      <c r="IF22" s="147"/>
      <c r="IG22" s="147"/>
      <c r="IH22" s="147"/>
      <c r="II22" s="147"/>
      <c r="IJ22" s="147"/>
      <c r="IK22" s="147"/>
      <c r="IL22" s="147"/>
      <c r="IM22" s="147"/>
      <c r="IN22" s="147"/>
      <c r="IO22" s="147"/>
      <c r="IP22" s="147"/>
      <c r="IQ22" s="147"/>
      <c r="IR22" s="147"/>
      <c r="IS22" s="147"/>
      <c r="IT22" s="147"/>
      <c r="IU22" s="147"/>
    </row>
    <row r="23" spans="1:255" s="248" customFormat="1" ht="26.25" customHeight="1">
      <c r="A23" s="230" t="s">
        <v>728</v>
      </c>
      <c r="B23" s="145"/>
      <c r="C23" s="145"/>
      <c r="D23" s="247"/>
      <c r="E23" s="145"/>
      <c r="F23" s="145"/>
      <c r="G23" s="145"/>
      <c r="H23" s="145"/>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47"/>
      <c r="BX23" s="147"/>
      <c r="BY23" s="147"/>
      <c r="BZ23" s="147"/>
      <c r="CA23" s="147"/>
      <c r="CB23" s="147"/>
      <c r="CC23" s="147"/>
      <c r="CD23" s="147"/>
      <c r="CE23" s="147"/>
      <c r="CF23" s="147"/>
      <c r="CG23" s="147"/>
      <c r="CH23" s="147"/>
      <c r="CI23" s="147"/>
      <c r="CJ23" s="147"/>
      <c r="CK23" s="147"/>
      <c r="CL23" s="147"/>
      <c r="CM23" s="147"/>
      <c r="CN23" s="147"/>
      <c r="CO23" s="147"/>
      <c r="CP23" s="147"/>
      <c r="CQ23" s="147"/>
      <c r="CR23" s="147"/>
      <c r="CS23" s="147"/>
      <c r="CT23" s="147"/>
      <c r="CU23" s="147"/>
      <c r="CV23" s="147"/>
      <c r="CW23" s="147"/>
      <c r="CX23" s="147"/>
      <c r="CY23" s="147"/>
      <c r="CZ23" s="147"/>
      <c r="DA23" s="147"/>
      <c r="DB23" s="147"/>
      <c r="DC23" s="147"/>
      <c r="DD23" s="147"/>
      <c r="DE23" s="147"/>
      <c r="DF23" s="147"/>
      <c r="DG23" s="147"/>
      <c r="DH23" s="147"/>
      <c r="DI23" s="147"/>
      <c r="DJ23" s="147"/>
      <c r="DK23" s="147"/>
      <c r="DL23" s="147"/>
      <c r="DM23" s="147"/>
      <c r="DN23" s="147"/>
      <c r="DO23" s="147"/>
      <c r="DP23" s="147"/>
      <c r="DQ23" s="147"/>
      <c r="DR23" s="147"/>
      <c r="DS23" s="147"/>
      <c r="DT23" s="147"/>
      <c r="DU23" s="147"/>
      <c r="DV23" s="147"/>
      <c r="DW23" s="147"/>
      <c r="DX23" s="147"/>
      <c r="DY23" s="147"/>
      <c r="DZ23" s="147"/>
      <c r="EA23" s="147"/>
      <c r="EB23" s="147"/>
      <c r="EC23" s="147"/>
      <c r="ED23" s="147"/>
      <c r="EE23" s="147"/>
      <c r="EF23" s="147"/>
      <c r="EG23" s="147"/>
      <c r="EH23" s="147"/>
      <c r="EI23" s="147"/>
      <c r="EJ23" s="147"/>
      <c r="EK23" s="147"/>
      <c r="EL23" s="147"/>
      <c r="EM23" s="147"/>
      <c r="EN23" s="147"/>
      <c r="EO23" s="147"/>
      <c r="EP23" s="147"/>
      <c r="EQ23" s="147"/>
      <c r="ER23" s="147"/>
      <c r="ES23" s="147"/>
      <c r="ET23" s="147"/>
      <c r="EU23" s="147"/>
      <c r="EV23" s="147"/>
      <c r="EW23" s="147"/>
      <c r="EX23" s="147"/>
      <c r="EY23" s="147"/>
      <c r="EZ23" s="147"/>
      <c r="FA23" s="147"/>
      <c r="FB23" s="147"/>
      <c r="FC23" s="147"/>
      <c r="FD23" s="147"/>
      <c r="FE23" s="147"/>
      <c r="FF23" s="147"/>
      <c r="FG23" s="147"/>
      <c r="FH23" s="147"/>
      <c r="FI23" s="147"/>
      <c r="FJ23" s="147"/>
      <c r="FK23" s="147"/>
      <c r="FL23" s="147"/>
      <c r="FM23" s="147"/>
      <c r="FN23" s="147"/>
      <c r="FO23" s="147"/>
      <c r="FP23" s="147"/>
      <c r="FQ23" s="147"/>
      <c r="FR23" s="147"/>
      <c r="FS23" s="147"/>
      <c r="FT23" s="147"/>
      <c r="FU23" s="147"/>
      <c r="FV23" s="147"/>
      <c r="FW23" s="147"/>
      <c r="FX23" s="147"/>
      <c r="FY23" s="147"/>
      <c r="FZ23" s="147"/>
      <c r="GA23" s="147"/>
      <c r="GB23" s="147"/>
      <c r="GC23" s="147"/>
      <c r="GD23" s="147"/>
      <c r="GE23" s="147"/>
      <c r="GF23" s="147"/>
      <c r="GG23" s="147"/>
      <c r="GH23" s="147"/>
      <c r="GI23" s="147"/>
      <c r="GJ23" s="147"/>
      <c r="GK23" s="147"/>
      <c r="GL23" s="147"/>
      <c r="GM23" s="147"/>
      <c r="GN23" s="147"/>
      <c r="GO23" s="147"/>
      <c r="GP23" s="147"/>
      <c r="GQ23" s="147"/>
      <c r="GR23" s="147"/>
      <c r="GS23" s="147"/>
      <c r="GT23" s="147"/>
      <c r="GU23" s="147"/>
      <c r="GV23" s="147"/>
      <c r="GW23" s="147"/>
      <c r="GX23" s="147"/>
      <c r="GY23" s="147"/>
      <c r="GZ23" s="147"/>
      <c r="HA23" s="147"/>
      <c r="HB23" s="147"/>
      <c r="HC23" s="147"/>
      <c r="HD23" s="147"/>
      <c r="HE23" s="147"/>
      <c r="HF23" s="147"/>
      <c r="HG23" s="147"/>
      <c r="HH23" s="147"/>
      <c r="HI23" s="147"/>
      <c r="HJ23" s="147"/>
      <c r="HK23" s="147"/>
      <c r="HL23" s="147"/>
      <c r="HM23" s="147"/>
      <c r="HN23" s="147"/>
      <c r="HO23" s="147"/>
      <c r="HP23" s="147"/>
      <c r="HQ23" s="147"/>
      <c r="HR23" s="147"/>
      <c r="HS23" s="147"/>
      <c r="HT23" s="147"/>
      <c r="HU23" s="147"/>
      <c r="HV23" s="147"/>
      <c r="HW23" s="147"/>
      <c r="HX23" s="147"/>
      <c r="HY23" s="147"/>
      <c r="HZ23" s="147"/>
      <c r="IA23" s="147"/>
      <c r="IB23" s="147"/>
      <c r="IC23" s="147"/>
      <c r="ID23" s="147"/>
      <c r="IE23" s="147"/>
      <c r="IF23" s="147"/>
      <c r="IG23" s="147"/>
      <c r="IH23" s="147"/>
      <c r="II23" s="147"/>
      <c r="IJ23" s="147"/>
      <c r="IK23" s="147"/>
      <c r="IL23" s="147"/>
      <c r="IM23" s="147"/>
      <c r="IN23" s="147"/>
      <c r="IO23" s="147"/>
      <c r="IP23" s="147"/>
      <c r="IQ23" s="147"/>
      <c r="IR23" s="147"/>
      <c r="IS23" s="147"/>
      <c r="IT23" s="147"/>
      <c r="IU23" s="147"/>
    </row>
    <row r="24" spans="1:255" s="248" customFormat="1" ht="26.25" customHeight="1">
      <c r="A24" s="254" t="s">
        <v>729</v>
      </c>
      <c r="B24" s="145"/>
      <c r="C24" s="145"/>
      <c r="D24" s="247"/>
      <c r="E24" s="145"/>
      <c r="F24" s="145"/>
      <c r="G24" s="145"/>
      <c r="H24" s="145"/>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7"/>
      <c r="CE24" s="147"/>
      <c r="CF24" s="147"/>
      <c r="CG24" s="147"/>
      <c r="CH24" s="147"/>
      <c r="CI24" s="147"/>
      <c r="CJ24" s="147"/>
      <c r="CK24" s="147"/>
      <c r="CL24" s="147"/>
      <c r="CM24" s="147"/>
      <c r="CN24" s="147"/>
      <c r="CO24" s="147"/>
      <c r="CP24" s="147"/>
      <c r="CQ24" s="147"/>
      <c r="CR24" s="147"/>
      <c r="CS24" s="147"/>
      <c r="CT24" s="147"/>
      <c r="CU24" s="147"/>
      <c r="CV24" s="147"/>
      <c r="CW24" s="147"/>
      <c r="CX24" s="147"/>
      <c r="CY24" s="147"/>
      <c r="CZ24" s="147"/>
      <c r="DA24" s="147"/>
      <c r="DB24" s="147"/>
      <c r="DC24" s="147"/>
      <c r="DD24" s="147"/>
      <c r="DE24" s="147"/>
      <c r="DF24" s="147"/>
      <c r="DG24" s="147"/>
      <c r="DH24" s="147"/>
      <c r="DI24" s="147"/>
      <c r="DJ24" s="147"/>
      <c r="DK24" s="147"/>
      <c r="DL24" s="147"/>
      <c r="DM24" s="147"/>
      <c r="DN24" s="147"/>
      <c r="DO24" s="147"/>
      <c r="DP24" s="147"/>
      <c r="DQ24" s="147"/>
      <c r="DR24" s="147"/>
      <c r="DS24" s="147"/>
      <c r="DT24" s="147"/>
      <c r="DU24" s="147"/>
      <c r="DV24" s="147"/>
      <c r="DW24" s="147"/>
      <c r="DX24" s="147"/>
      <c r="DY24" s="147"/>
      <c r="DZ24" s="147"/>
      <c r="EA24" s="147"/>
      <c r="EB24" s="147"/>
      <c r="EC24" s="147"/>
      <c r="ED24" s="147"/>
      <c r="EE24" s="147"/>
      <c r="EF24" s="147"/>
      <c r="EG24" s="147"/>
      <c r="EH24" s="147"/>
      <c r="EI24" s="147"/>
      <c r="EJ24" s="147"/>
      <c r="EK24" s="147"/>
      <c r="EL24" s="147"/>
      <c r="EM24" s="147"/>
      <c r="EN24" s="147"/>
      <c r="EO24" s="147"/>
      <c r="EP24" s="147"/>
      <c r="EQ24" s="147"/>
      <c r="ER24" s="147"/>
      <c r="ES24" s="147"/>
      <c r="ET24" s="147"/>
      <c r="EU24" s="147"/>
      <c r="EV24" s="147"/>
      <c r="EW24" s="147"/>
      <c r="EX24" s="147"/>
      <c r="EY24" s="147"/>
      <c r="EZ24" s="147"/>
      <c r="FA24" s="147"/>
      <c r="FB24" s="147"/>
      <c r="FC24" s="147"/>
      <c r="FD24" s="147"/>
      <c r="FE24" s="147"/>
      <c r="FF24" s="147"/>
      <c r="FG24" s="147"/>
      <c r="FH24" s="147"/>
      <c r="FI24" s="147"/>
      <c r="FJ24" s="147"/>
      <c r="FK24" s="147"/>
      <c r="FL24" s="147"/>
      <c r="FM24" s="147"/>
      <c r="FN24" s="147"/>
      <c r="FO24" s="147"/>
      <c r="FP24" s="147"/>
      <c r="FQ24" s="147"/>
      <c r="FR24" s="147"/>
      <c r="FS24" s="147"/>
      <c r="FT24" s="147"/>
      <c r="FU24" s="147"/>
      <c r="FV24" s="147"/>
      <c r="FW24" s="147"/>
      <c r="FX24" s="147"/>
      <c r="FY24" s="147"/>
      <c r="FZ24" s="147"/>
      <c r="GA24" s="147"/>
      <c r="GB24" s="147"/>
      <c r="GC24" s="147"/>
      <c r="GD24" s="147"/>
      <c r="GE24" s="147"/>
      <c r="GF24" s="147"/>
      <c r="GG24" s="147"/>
      <c r="GH24" s="147"/>
      <c r="GI24" s="147"/>
      <c r="GJ24" s="147"/>
      <c r="GK24" s="147"/>
      <c r="GL24" s="147"/>
      <c r="GM24" s="147"/>
      <c r="GN24" s="147"/>
      <c r="GO24" s="147"/>
      <c r="GP24" s="147"/>
      <c r="GQ24" s="147"/>
      <c r="GR24" s="147"/>
      <c r="GS24" s="147"/>
      <c r="GT24" s="147"/>
      <c r="GU24" s="147"/>
      <c r="GV24" s="147"/>
      <c r="GW24" s="147"/>
      <c r="GX24" s="147"/>
      <c r="GY24" s="147"/>
      <c r="GZ24" s="147"/>
      <c r="HA24" s="147"/>
      <c r="HB24" s="147"/>
      <c r="HC24" s="147"/>
      <c r="HD24" s="147"/>
      <c r="HE24" s="147"/>
      <c r="HF24" s="147"/>
      <c r="HG24" s="147"/>
      <c r="HH24" s="147"/>
      <c r="HI24" s="147"/>
      <c r="HJ24" s="147"/>
      <c r="HK24" s="147"/>
      <c r="HL24" s="147"/>
      <c r="HM24" s="147"/>
      <c r="HN24" s="147"/>
      <c r="HO24" s="147"/>
      <c r="HP24" s="147"/>
      <c r="HQ24" s="147"/>
      <c r="HR24" s="147"/>
      <c r="HS24" s="147"/>
      <c r="HT24" s="147"/>
      <c r="HU24" s="147"/>
      <c r="HV24" s="147"/>
      <c r="HW24" s="147"/>
      <c r="HX24" s="147"/>
      <c r="HY24" s="147"/>
      <c r="HZ24" s="147"/>
      <c r="IA24" s="147"/>
      <c r="IB24" s="147"/>
      <c r="IC24" s="147"/>
      <c r="ID24" s="147"/>
      <c r="IE24" s="147"/>
      <c r="IF24" s="147"/>
      <c r="IG24" s="147"/>
      <c r="IH24" s="147"/>
      <c r="II24" s="147"/>
      <c r="IJ24" s="147"/>
      <c r="IK24" s="147"/>
      <c r="IL24" s="147"/>
      <c r="IM24" s="147"/>
      <c r="IN24" s="147"/>
      <c r="IO24" s="147"/>
      <c r="IP24" s="147"/>
      <c r="IQ24" s="147"/>
      <c r="IR24" s="147"/>
      <c r="IS24" s="147"/>
      <c r="IT24" s="147"/>
      <c r="IU24" s="147"/>
    </row>
    <row r="25" spans="1:255" s="248" customFormat="1" ht="26.25" customHeight="1">
      <c r="A25" s="254" t="s">
        <v>730</v>
      </c>
      <c r="B25" s="230"/>
      <c r="C25" s="230" t="s">
        <v>731</v>
      </c>
      <c r="E25" s="262" t="s">
        <v>732</v>
      </c>
      <c r="G25" s="262" t="s">
        <v>733</v>
      </c>
      <c r="H25" s="145"/>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147"/>
      <c r="EO25" s="147"/>
      <c r="EP25" s="147"/>
      <c r="EQ25" s="147"/>
      <c r="ER25" s="147"/>
      <c r="ES25" s="147"/>
      <c r="ET25" s="147"/>
      <c r="EU25" s="147"/>
      <c r="EV25" s="147"/>
      <c r="EW25" s="147"/>
      <c r="EX25" s="147"/>
      <c r="EY25" s="147"/>
      <c r="EZ25" s="147"/>
      <c r="FA25" s="147"/>
      <c r="FB25" s="147"/>
      <c r="FC25" s="147"/>
      <c r="FD25" s="147"/>
      <c r="FE25" s="147"/>
      <c r="FF25" s="147"/>
      <c r="FG25" s="147"/>
      <c r="FH25" s="147"/>
      <c r="FI25" s="147"/>
      <c r="FJ25" s="147"/>
      <c r="FK25" s="147"/>
      <c r="FL25" s="147"/>
      <c r="FM25" s="147"/>
      <c r="FN25" s="147"/>
      <c r="FO25" s="147"/>
      <c r="FP25" s="147"/>
      <c r="FQ25" s="147"/>
      <c r="FR25" s="147"/>
      <c r="FS25" s="147"/>
      <c r="FT25" s="147"/>
      <c r="FU25" s="147"/>
      <c r="FV25" s="147"/>
      <c r="FW25" s="147"/>
      <c r="FX25" s="147"/>
      <c r="FY25" s="147"/>
      <c r="FZ25" s="147"/>
      <c r="GA25" s="147"/>
      <c r="GB25" s="147"/>
      <c r="GC25" s="147"/>
      <c r="GD25" s="147"/>
      <c r="GE25" s="147"/>
      <c r="GF25" s="147"/>
      <c r="GG25" s="147"/>
      <c r="GH25" s="147"/>
      <c r="GI25" s="147"/>
      <c r="GJ25" s="147"/>
      <c r="GK25" s="147"/>
      <c r="GL25" s="147"/>
      <c r="GM25" s="147"/>
      <c r="GN25" s="147"/>
      <c r="GO25" s="147"/>
      <c r="GP25" s="147"/>
      <c r="GQ25" s="147"/>
      <c r="GR25" s="147"/>
      <c r="GS25" s="147"/>
      <c r="GT25" s="147"/>
      <c r="GU25" s="147"/>
      <c r="GV25" s="147"/>
      <c r="GW25" s="147"/>
      <c r="GX25" s="147"/>
      <c r="GY25" s="147"/>
      <c r="GZ25" s="147"/>
      <c r="HA25" s="147"/>
      <c r="HB25" s="147"/>
      <c r="HC25" s="147"/>
      <c r="HD25" s="147"/>
      <c r="HE25" s="147"/>
      <c r="HF25" s="147"/>
      <c r="HG25" s="147"/>
      <c r="HH25" s="147"/>
      <c r="HI25" s="147"/>
      <c r="HJ25" s="147"/>
      <c r="HK25" s="147"/>
      <c r="HL25" s="147"/>
      <c r="HM25" s="147"/>
      <c r="HN25" s="147"/>
      <c r="HO25" s="147"/>
      <c r="HP25" s="147"/>
      <c r="HQ25" s="147"/>
      <c r="HR25" s="147"/>
      <c r="HS25" s="147"/>
      <c r="HT25" s="147"/>
      <c r="HU25" s="147"/>
      <c r="HV25" s="147"/>
      <c r="HW25" s="147"/>
      <c r="HX25" s="147"/>
      <c r="HY25" s="147"/>
      <c r="HZ25" s="147"/>
      <c r="IA25" s="147"/>
      <c r="IB25" s="147"/>
      <c r="IC25" s="147"/>
      <c r="ID25" s="147"/>
      <c r="IE25" s="147"/>
      <c r="IF25" s="147"/>
      <c r="IG25" s="147"/>
      <c r="IH25" s="147"/>
      <c r="II25" s="147"/>
      <c r="IJ25" s="147"/>
      <c r="IK25" s="147"/>
      <c r="IL25" s="147"/>
      <c r="IM25" s="147"/>
      <c r="IN25" s="147"/>
      <c r="IO25" s="147"/>
      <c r="IP25" s="147"/>
      <c r="IQ25" s="147"/>
      <c r="IR25" s="147"/>
      <c r="IS25" s="147"/>
      <c r="IT25" s="147"/>
      <c r="IU25" s="147"/>
    </row>
    <row r="26" spans="1:255" s="248" customFormat="1" ht="26.25" customHeight="1">
      <c r="A26" s="230" t="s">
        <v>734</v>
      </c>
      <c r="B26" s="145"/>
      <c r="C26" s="230" t="s">
        <v>735</v>
      </c>
      <c r="E26" s="262" t="s">
        <v>736</v>
      </c>
      <c r="G26" s="257"/>
      <c r="H26" s="145"/>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7"/>
      <c r="CE26" s="147"/>
      <c r="CF26" s="147"/>
      <c r="CG26" s="147"/>
      <c r="CH26" s="147"/>
      <c r="CI26" s="147"/>
      <c r="CJ26" s="147"/>
      <c r="CK26" s="147"/>
      <c r="CL26" s="147"/>
      <c r="CM26" s="147"/>
      <c r="CN26" s="147"/>
      <c r="CO26" s="147"/>
      <c r="CP26" s="147"/>
      <c r="CQ26" s="147"/>
      <c r="CR26" s="147"/>
      <c r="CS26" s="147"/>
      <c r="CT26" s="147"/>
      <c r="CU26" s="147"/>
      <c r="CV26" s="147"/>
      <c r="CW26" s="147"/>
      <c r="CX26" s="147"/>
      <c r="CY26" s="147"/>
      <c r="CZ26" s="147"/>
      <c r="DA26" s="147"/>
      <c r="DB26" s="147"/>
      <c r="DC26" s="147"/>
      <c r="DD26" s="147"/>
      <c r="DE26" s="147"/>
      <c r="DF26" s="147"/>
      <c r="DG26" s="147"/>
      <c r="DH26" s="147"/>
      <c r="DI26" s="147"/>
      <c r="DJ26" s="147"/>
      <c r="DK26" s="147"/>
      <c r="DL26" s="147"/>
      <c r="DM26" s="147"/>
      <c r="DN26" s="147"/>
      <c r="DO26" s="147"/>
      <c r="DP26" s="147"/>
      <c r="DQ26" s="147"/>
      <c r="DR26" s="147"/>
      <c r="DS26" s="147"/>
      <c r="DT26" s="147"/>
      <c r="DU26" s="147"/>
      <c r="DV26" s="147"/>
      <c r="DW26" s="147"/>
      <c r="DX26" s="147"/>
      <c r="DY26" s="147"/>
      <c r="DZ26" s="147"/>
      <c r="EA26" s="147"/>
      <c r="EB26" s="147"/>
      <c r="EC26" s="147"/>
      <c r="ED26" s="147"/>
      <c r="EE26" s="147"/>
      <c r="EF26" s="147"/>
      <c r="EG26" s="147"/>
      <c r="EH26" s="147"/>
      <c r="EI26" s="147"/>
      <c r="EJ26" s="147"/>
      <c r="EK26" s="147"/>
      <c r="EL26" s="147"/>
      <c r="EM26" s="147"/>
      <c r="EN26" s="147"/>
      <c r="EO26" s="147"/>
      <c r="EP26" s="147"/>
      <c r="EQ26" s="147"/>
      <c r="ER26" s="147"/>
      <c r="ES26" s="147"/>
      <c r="ET26" s="147"/>
      <c r="EU26" s="147"/>
      <c r="EV26" s="147"/>
      <c r="EW26" s="147"/>
      <c r="EX26" s="147"/>
      <c r="EY26" s="147"/>
      <c r="EZ26" s="147"/>
      <c r="FA26" s="147"/>
      <c r="FB26" s="147"/>
      <c r="FC26" s="147"/>
      <c r="FD26" s="147"/>
      <c r="FE26" s="147"/>
      <c r="FF26" s="147"/>
      <c r="FG26" s="147"/>
      <c r="FH26" s="147"/>
      <c r="FI26" s="147"/>
      <c r="FJ26" s="147"/>
      <c r="FK26" s="147"/>
      <c r="FL26" s="147"/>
      <c r="FM26" s="147"/>
      <c r="FN26" s="147"/>
      <c r="FO26" s="147"/>
      <c r="FP26" s="147"/>
      <c r="FQ26" s="147"/>
      <c r="FR26" s="147"/>
      <c r="FS26" s="147"/>
      <c r="FT26" s="147"/>
      <c r="FU26" s="147"/>
      <c r="FV26" s="147"/>
      <c r="FW26" s="147"/>
      <c r="FX26" s="147"/>
      <c r="FY26" s="147"/>
      <c r="FZ26" s="147"/>
      <c r="GA26" s="147"/>
      <c r="GB26" s="147"/>
      <c r="GC26" s="147"/>
      <c r="GD26" s="147"/>
      <c r="GE26" s="147"/>
      <c r="GF26" s="147"/>
      <c r="GG26" s="147"/>
      <c r="GH26" s="147"/>
      <c r="GI26" s="147"/>
      <c r="GJ26" s="147"/>
      <c r="GK26" s="147"/>
      <c r="GL26" s="147"/>
      <c r="GM26" s="147"/>
      <c r="GN26" s="147"/>
      <c r="GO26" s="147"/>
      <c r="GP26" s="147"/>
      <c r="GQ26" s="147"/>
      <c r="GR26" s="147"/>
      <c r="GS26" s="147"/>
      <c r="GT26" s="147"/>
      <c r="GU26" s="147"/>
      <c r="GV26" s="147"/>
      <c r="GW26" s="147"/>
      <c r="GX26" s="147"/>
      <c r="GY26" s="147"/>
      <c r="GZ26" s="147"/>
      <c r="HA26" s="147"/>
      <c r="HB26" s="147"/>
      <c r="HC26" s="147"/>
      <c r="HD26" s="147"/>
      <c r="HE26" s="147"/>
      <c r="HF26" s="147"/>
      <c r="HG26" s="147"/>
      <c r="HH26" s="147"/>
      <c r="HI26" s="147"/>
      <c r="HJ26" s="147"/>
      <c r="HK26" s="147"/>
      <c r="HL26" s="147"/>
      <c r="HM26" s="147"/>
      <c r="HN26" s="147"/>
      <c r="HO26" s="147"/>
      <c r="HP26" s="147"/>
      <c r="HQ26" s="147"/>
      <c r="HR26" s="147"/>
      <c r="HS26" s="147"/>
      <c r="HT26" s="147"/>
      <c r="HU26" s="147"/>
      <c r="HV26" s="147"/>
      <c r="HW26" s="147"/>
      <c r="HX26" s="147"/>
      <c r="HY26" s="147"/>
      <c r="HZ26" s="147"/>
      <c r="IA26" s="147"/>
      <c r="IB26" s="147"/>
      <c r="IC26" s="147"/>
      <c r="ID26" s="147"/>
      <c r="IE26" s="147"/>
      <c r="IF26" s="147"/>
      <c r="IG26" s="147"/>
      <c r="IH26" s="147"/>
      <c r="II26" s="147"/>
      <c r="IJ26" s="147"/>
      <c r="IK26" s="147"/>
      <c r="IL26" s="147"/>
      <c r="IM26" s="147"/>
      <c r="IN26" s="147"/>
      <c r="IO26" s="147"/>
      <c r="IP26" s="147"/>
      <c r="IQ26" s="147"/>
      <c r="IR26" s="147"/>
      <c r="IS26" s="147"/>
      <c r="IT26" s="147"/>
      <c r="IU26" s="147"/>
    </row>
    <row r="27" spans="1:255" s="248" customFormat="1" ht="26.25" customHeight="1">
      <c r="A27" s="230" t="s">
        <v>737</v>
      </c>
      <c r="B27" s="145"/>
      <c r="C27" s="145"/>
      <c r="D27" s="263" t="s">
        <v>738</v>
      </c>
      <c r="E27" s="145"/>
      <c r="F27" s="230" t="s">
        <v>739</v>
      </c>
      <c r="H27" s="264"/>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7"/>
      <c r="CE27" s="147"/>
      <c r="CF27" s="147"/>
      <c r="CG27" s="147"/>
      <c r="CH27" s="147"/>
      <c r="CI27" s="147"/>
      <c r="CJ27" s="147"/>
      <c r="CK27" s="147"/>
      <c r="CL27" s="147"/>
      <c r="CM27" s="147"/>
      <c r="CN27" s="147"/>
      <c r="CO27" s="147"/>
      <c r="CP27" s="147"/>
      <c r="CQ27" s="147"/>
      <c r="CR27" s="147"/>
      <c r="CS27" s="147"/>
      <c r="CT27" s="147"/>
      <c r="CU27" s="147"/>
      <c r="CV27" s="147"/>
      <c r="CW27" s="147"/>
      <c r="CX27" s="147"/>
      <c r="CY27" s="147"/>
      <c r="CZ27" s="147"/>
      <c r="DA27" s="147"/>
      <c r="DB27" s="147"/>
      <c r="DC27" s="147"/>
      <c r="DD27" s="147"/>
      <c r="DE27" s="147"/>
      <c r="DF27" s="147"/>
      <c r="DG27" s="147"/>
      <c r="DH27" s="147"/>
      <c r="DI27" s="147"/>
      <c r="DJ27" s="147"/>
      <c r="DK27" s="147"/>
      <c r="DL27" s="147"/>
      <c r="DM27" s="147"/>
      <c r="DN27" s="147"/>
      <c r="DO27" s="147"/>
      <c r="DP27" s="147"/>
      <c r="DQ27" s="147"/>
      <c r="DR27" s="147"/>
      <c r="DS27" s="147"/>
      <c r="DT27" s="147"/>
      <c r="DU27" s="147"/>
      <c r="DV27" s="147"/>
      <c r="DW27" s="147"/>
      <c r="DX27" s="147"/>
      <c r="DY27" s="147"/>
      <c r="DZ27" s="147"/>
      <c r="EA27" s="147"/>
      <c r="EB27" s="147"/>
      <c r="EC27" s="147"/>
      <c r="ED27" s="147"/>
      <c r="EE27" s="147"/>
      <c r="EF27" s="147"/>
      <c r="EG27" s="147"/>
      <c r="EH27" s="147"/>
      <c r="EI27" s="147"/>
      <c r="EJ27" s="147"/>
      <c r="EK27" s="147"/>
      <c r="EL27" s="147"/>
      <c r="EM27" s="147"/>
      <c r="EN27" s="147"/>
      <c r="EO27" s="147"/>
      <c r="EP27" s="147"/>
      <c r="EQ27" s="147"/>
      <c r="ER27" s="147"/>
      <c r="ES27" s="147"/>
      <c r="ET27" s="147"/>
      <c r="EU27" s="147"/>
      <c r="EV27" s="147"/>
      <c r="EW27" s="147"/>
      <c r="EX27" s="147"/>
      <c r="EY27" s="147"/>
      <c r="EZ27" s="147"/>
      <c r="FA27" s="147"/>
      <c r="FB27" s="147"/>
      <c r="FC27" s="147"/>
      <c r="FD27" s="147"/>
      <c r="FE27" s="147"/>
      <c r="FF27" s="147"/>
      <c r="FG27" s="147"/>
      <c r="FH27" s="147"/>
      <c r="FI27" s="147"/>
      <c r="FJ27" s="147"/>
      <c r="FK27" s="147"/>
      <c r="FL27" s="147"/>
      <c r="FM27" s="147"/>
      <c r="FN27" s="147"/>
      <c r="FO27" s="147"/>
      <c r="FP27" s="147"/>
      <c r="FQ27" s="147"/>
      <c r="FR27" s="147"/>
      <c r="FS27" s="147"/>
      <c r="FT27" s="147"/>
      <c r="FU27" s="147"/>
      <c r="FV27" s="147"/>
      <c r="FW27" s="147"/>
      <c r="FX27" s="147"/>
      <c r="FY27" s="147"/>
      <c r="FZ27" s="147"/>
      <c r="GA27" s="147"/>
      <c r="GB27" s="147"/>
      <c r="GC27" s="147"/>
      <c r="GD27" s="147"/>
      <c r="GE27" s="147"/>
      <c r="GF27" s="147"/>
      <c r="GG27" s="147"/>
      <c r="GH27" s="147"/>
      <c r="GI27" s="147"/>
      <c r="GJ27" s="147"/>
      <c r="GK27" s="147"/>
      <c r="GL27" s="147"/>
      <c r="GM27" s="147"/>
      <c r="GN27" s="147"/>
      <c r="GO27" s="147"/>
      <c r="GP27" s="147"/>
      <c r="GQ27" s="147"/>
      <c r="GR27" s="147"/>
      <c r="GS27" s="147"/>
      <c r="GT27" s="147"/>
      <c r="GU27" s="147"/>
      <c r="GV27" s="147"/>
      <c r="GW27" s="147"/>
      <c r="GX27" s="147"/>
      <c r="GY27" s="147"/>
      <c r="GZ27" s="147"/>
      <c r="HA27" s="147"/>
      <c r="HB27" s="147"/>
      <c r="HC27" s="147"/>
      <c r="HD27" s="147"/>
      <c r="HE27" s="147"/>
      <c r="HF27" s="147"/>
      <c r="HG27" s="147"/>
      <c r="HH27" s="147"/>
      <c r="HI27" s="147"/>
      <c r="HJ27" s="147"/>
      <c r="HK27" s="147"/>
      <c r="HL27" s="147"/>
      <c r="HM27" s="147"/>
      <c r="HN27" s="147"/>
      <c r="HO27" s="147"/>
      <c r="HP27" s="147"/>
      <c r="HQ27" s="147"/>
      <c r="HR27" s="147"/>
      <c r="HS27" s="147"/>
      <c r="HT27" s="147"/>
      <c r="HU27" s="147"/>
      <c r="HV27" s="147"/>
      <c r="HW27" s="147"/>
      <c r="HX27" s="147"/>
      <c r="HY27" s="147"/>
      <c r="HZ27" s="147"/>
      <c r="IA27" s="147"/>
      <c r="IB27" s="147"/>
      <c r="IC27" s="147"/>
      <c r="ID27" s="147"/>
      <c r="IE27" s="147"/>
      <c r="IF27" s="147"/>
      <c r="IG27" s="147"/>
      <c r="IH27" s="147"/>
      <c r="II27" s="147"/>
      <c r="IJ27" s="147"/>
      <c r="IK27" s="147"/>
      <c r="IL27" s="147"/>
      <c r="IM27" s="147"/>
      <c r="IN27" s="147"/>
      <c r="IO27" s="147"/>
      <c r="IP27" s="147"/>
      <c r="IQ27" s="147"/>
      <c r="IR27" s="147"/>
      <c r="IS27" s="147"/>
      <c r="IT27" s="147"/>
      <c r="IU27" s="147"/>
    </row>
    <row r="28" spans="1:255" s="248" customFormat="1" ht="26.25" customHeight="1">
      <c r="A28" s="145"/>
      <c r="B28" s="145"/>
      <c r="C28" s="145"/>
      <c r="D28" s="263" t="s">
        <v>740</v>
      </c>
      <c r="E28" s="145"/>
      <c r="F28" s="263" t="s">
        <v>741</v>
      </c>
      <c r="H28" s="264"/>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7"/>
      <c r="BK28" s="147"/>
      <c r="BL28" s="147"/>
      <c r="BM28" s="147"/>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7"/>
      <c r="EA28" s="147"/>
      <c r="EB28" s="147"/>
      <c r="EC28" s="147"/>
      <c r="ED28" s="147"/>
      <c r="EE28" s="147"/>
      <c r="EF28" s="147"/>
      <c r="EG28" s="147"/>
      <c r="EH28" s="147"/>
      <c r="EI28" s="147"/>
      <c r="EJ28" s="147"/>
      <c r="EK28" s="147"/>
      <c r="EL28" s="147"/>
      <c r="EM28" s="147"/>
      <c r="EN28" s="147"/>
      <c r="EO28" s="147"/>
      <c r="EP28" s="147"/>
      <c r="EQ28" s="147"/>
      <c r="ER28" s="147"/>
      <c r="ES28" s="147"/>
      <c r="ET28" s="147"/>
      <c r="EU28" s="147"/>
      <c r="EV28" s="147"/>
      <c r="EW28" s="147"/>
      <c r="EX28" s="147"/>
      <c r="EY28" s="147"/>
      <c r="EZ28" s="147"/>
      <c r="FA28" s="147"/>
      <c r="FB28" s="147"/>
      <c r="FC28" s="147"/>
      <c r="FD28" s="147"/>
      <c r="FE28" s="147"/>
      <c r="FF28" s="147"/>
      <c r="FG28" s="147"/>
      <c r="FH28" s="147"/>
      <c r="FI28" s="147"/>
      <c r="FJ28" s="147"/>
      <c r="FK28" s="147"/>
      <c r="FL28" s="147"/>
      <c r="FM28" s="147"/>
      <c r="FN28" s="147"/>
      <c r="FO28" s="147"/>
      <c r="FP28" s="147"/>
      <c r="FQ28" s="147"/>
      <c r="FR28" s="147"/>
      <c r="FS28" s="147"/>
      <c r="FT28" s="147"/>
      <c r="FU28" s="147"/>
      <c r="FV28" s="147"/>
      <c r="FW28" s="147"/>
      <c r="FX28" s="147"/>
      <c r="FY28" s="147"/>
      <c r="FZ28" s="147"/>
      <c r="GA28" s="147"/>
      <c r="GB28" s="147"/>
      <c r="GC28" s="147"/>
      <c r="GD28" s="147"/>
      <c r="GE28" s="147"/>
      <c r="GF28" s="147"/>
      <c r="GG28" s="147"/>
      <c r="GH28" s="147"/>
      <c r="GI28" s="147"/>
      <c r="GJ28" s="147"/>
      <c r="GK28" s="147"/>
      <c r="GL28" s="147"/>
      <c r="GM28" s="147"/>
      <c r="GN28" s="147"/>
      <c r="GO28" s="147"/>
      <c r="GP28" s="147"/>
      <c r="GQ28" s="147"/>
      <c r="GR28" s="147"/>
      <c r="GS28" s="147"/>
      <c r="GT28" s="147"/>
      <c r="GU28" s="147"/>
      <c r="GV28" s="147"/>
      <c r="GW28" s="147"/>
      <c r="GX28" s="147"/>
      <c r="GY28" s="147"/>
      <c r="GZ28" s="147"/>
      <c r="HA28" s="147"/>
      <c r="HB28" s="147"/>
      <c r="HC28" s="147"/>
      <c r="HD28" s="147"/>
      <c r="HE28" s="147"/>
      <c r="HF28" s="147"/>
      <c r="HG28" s="147"/>
      <c r="HH28" s="147"/>
      <c r="HI28" s="147"/>
      <c r="HJ28" s="147"/>
      <c r="HK28" s="147"/>
      <c r="HL28" s="147"/>
      <c r="HM28" s="147"/>
      <c r="HN28" s="147"/>
      <c r="HO28" s="147"/>
      <c r="HP28" s="147"/>
      <c r="HQ28" s="147"/>
      <c r="HR28" s="147"/>
      <c r="HS28" s="147"/>
      <c r="HT28" s="147"/>
      <c r="HU28" s="147"/>
      <c r="HV28" s="147"/>
      <c r="HW28" s="147"/>
      <c r="HX28" s="147"/>
      <c r="HY28" s="147"/>
      <c r="HZ28" s="147"/>
      <c r="IA28" s="147"/>
      <c r="IB28" s="147"/>
      <c r="IC28" s="147"/>
      <c r="ID28" s="147"/>
      <c r="IE28" s="147"/>
      <c r="IF28" s="147"/>
      <c r="IG28" s="147"/>
      <c r="IH28" s="147"/>
      <c r="II28" s="147"/>
      <c r="IJ28" s="147"/>
      <c r="IK28" s="147"/>
      <c r="IL28" s="147"/>
      <c r="IM28" s="147"/>
      <c r="IN28" s="147"/>
      <c r="IO28" s="147"/>
      <c r="IP28" s="147"/>
      <c r="IQ28" s="147"/>
      <c r="IR28" s="147"/>
      <c r="IS28" s="147"/>
      <c r="IT28" s="147"/>
      <c r="IU28" s="147"/>
    </row>
    <row r="29" spans="1:255" ht="25.5" customHeight="1">
      <c r="A29" s="243" t="s">
        <v>742</v>
      </c>
      <c r="B29" s="244"/>
      <c r="C29" s="244"/>
      <c r="D29" s="245"/>
      <c r="E29" s="244"/>
      <c r="F29" s="244"/>
      <c r="G29" s="244"/>
      <c r="H29" s="147"/>
      <c r="J29" s="147"/>
    </row>
    <row r="30" spans="1:255" s="248" customFormat="1" ht="31.5" customHeight="1">
      <c r="A30" s="230" t="s">
        <v>743</v>
      </c>
      <c r="B30" s="145"/>
      <c r="C30" s="145"/>
      <c r="D30" s="247"/>
      <c r="E30" s="145"/>
      <c r="F30" s="145"/>
      <c r="G30" s="145"/>
      <c r="H30" s="145"/>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c r="CB30" s="147"/>
      <c r="CC30" s="147"/>
      <c r="CD30" s="147"/>
      <c r="CE30" s="147"/>
      <c r="CF30" s="147"/>
      <c r="CG30" s="147"/>
      <c r="CH30" s="147"/>
      <c r="CI30" s="147"/>
      <c r="CJ30" s="147"/>
      <c r="CK30" s="147"/>
      <c r="CL30" s="147"/>
      <c r="CM30" s="147"/>
      <c r="CN30" s="147"/>
      <c r="CO30" s="147"/>
      <c r="CP30" s="147"/>
      <c r="CQ30" s="147"/>
      <c r="CR30" s="147"/>
      <c r="CS30" s="147"/>
      <c r="CT30" s="147"/>
      <c r="CU30" s="147"/>
      <c r="CV30" s="147"/>
      <c r="CW30" s="147"/>
      <c r="CX30" s="147"/>
      <c r="CY30" s="147"/>
      <c r="CZ30" s="147"/>
      <c r="DA30" s="147"/>
      <c r="DB30" s="147"/>
      <c r="DC30" s="147"/>
      <c r="DD30" s="147"/>
      <c r="DE30" s="147"/>
      <c r="DF30" s="147"/>
      <c r="DG30" s="147"/>
      <c r="DH30" s="147"/>
      <c r="DI30" s="147"/>
      <c r="DJ30" s="147"/>
      <c r="DK30" s="147"/>
      <c r="DL30" s="147"/>
      <c r="DM30" s="147"/>
      <c r="DN30" s="147"/>
      <c r="DO30" s="147"/>
      <c r="DP30" s="147"/>
      <c r="DQ30" s="147"/>
      <c r="DR30" s="147"/>
      <c r="DS30" s="147"/>
      <c r="DT30" s="147"/>
      <c r="DU30" s="147"/>
      <c r="DV30" s="147"/>
      <c r="DW30" s="147"/>
      <c r="DX30" s="147"/>
      <c r="DY30" s="147"/>
      <c r="DZ30" s="147"/>
      <c r="EA30" s="147"/>
      <c r="EB30" s="147"/>
      <c r="EC30" s="147"/>
      <c r="ED30" s="147"/>
      <c r="EE30" s="147"/>
      <c r="EF30" s="147"/>
      <c r="EG30" s="147"/>
      <c r="EH30" s="147"/>
      <c r="EI30" s="147"/>
      <c r="EJ30" s="147"/>
      <c r="EK30" s="147"/>
      <c r="EL30" s="147"/>
      <c r="EM30" s="147"/>
      <c r="EN30" s="147"/>
      <c r="EO30" s="147"/>
      <c r="EP30" s="147"/>
      <c r="EQ30" s="147"/>
      <c r="ER30" s="147"/>
      <c r="ES30" s="147"/>
      <c r="ET30" s="147"/>
      <c r="EU30" s="147"/>
      <c r="EV30" s="147"/>
      <c r="EW30" s="147"/>
      <c r="EX30" s="147"/>
      <c r="EY30" s="147"/>
      <c r="EZ30" s="147"/>
      <c r="FA30" s="147"/>
      <c r="FB30" s="147"/>
      <c r="FC30" s="147"/>
      <c r="FD30" s="147"/>
      <c r="FE30" s="147"/>
      <c r="FF30" s="147"/>
      <c r="FG30" s="147"/>
      <c r="FH30" s="147"/>
      <c r="FI30" s="147"/>
      <c r="FJ30" s="147"/>
      <c r="FK30" s="147"/>
      <c r="FL30" s="147"/>
      <c r="FM30" s="147"/>
      <c r="FN30" s="147"/>
      <c r="FO30" s="147"/>
      <c r="FP30" s="147"/>
      <c r="FQ30" s="147"/>
      <c r="FR30" s="147"/>
      <c r="FS30" s="147"/>
      <c r="FT30" s="147"/>
      <c r="FU30" s="147"/>
      <c r="FV30" s="147"/>
      <c r="FW30" s="147"/>
      <c r="FX30" s="147"/>
      <c r="FY30" s="147"/>
      <c r="FZ30" s="147"/>
      <c r="GA30" s="147"/>
      <c r="GB30" s="147"/>
      <c r="GC30" s="147"/>
      <c r="GD30" s="147"/>
      <c r="GE30" s="147"/>
      <c r="GF30" s="147"/>
      <c r="GG30" s="147"/>
      <c r="GH30" s="147"/>
      <c r="GI30" s="147"/>
      <c r="GJ30" s="147"/>
      <c r="GK30" s="147"/>
      <c r="GL30" s="147"/>
      <c r="GM30" s="147"/>
      <c r="GN30" s="147"/>
      <c r="GO30" s="147"/>
      <c r="GP30" s="147"/>
      <c r="GQ30" s="147"/>
      <c r="GR30" s="147"/>
      <c r="GS30" s="147"/>
      <c r="GT30" s="147"/>
      <c r="GU30" s="147"/>
      <c r="GV30" s="147"/>
      <c r="GW30" s="147"/>
      <c r="GX30" s="147"/>
      <c r="GY30" s="147"/>
      <c r="GZ30" s="147"/>
      <c r="HA30" s="147"/>
      <c r="HB30" s="147"/>
      <c r="HC30" s="147"/>
      <c r="HD30" s="147"/>
      <c r="HE30" s="147"/>
      <c r="HF30" s="147"/>
      <c r="HG30" s="147"/>
      <c r="HH30" s="147"/>
      <c r="HI30" s="147"/>
      <c r="HJ30" s="147"/>
      <c r="HK30" s="147"/>
      <c r="HL30" s="147"/>
      <c r="HM30" s="147"/>
      <c r="HN30" s="147"/>
      <c r="HO30" s="147"/>
      <c r="HP30" s="147"/>
      <c r="HQ30" s="147"/>
      <c r="HR30" s="147"/>
      <c r="HS30" s="147"/>
      <c r="HT30" s="147"/>
      <c r="HU30" s="147"/>
      <c r="HV30" s="147"/>
      <c r="HW30" s="147"/>
      <c r="HX30" s="147"/>
      <c r="HY30" s="147"/>
      <c r="HZ30" s="147"/>
      <c r="IA30" s="147"/>
      <c r="IB30" s="147"/>
      <c r="IC30" s="147"/>
      <c r="ID30" s="147"/>
      <c r="IE30" s="147"/>
      <c r="IF30" s="147"/>
      <c r="IG30" s="147"/>
      <c r="IH30" s="147"/>
      <c r="II30" s="147"/>
      <c r="IJ30" s="147"/>
      <c r="IK30" s="147"/>
      <c r="IL30" s="147"/>
      <c r="IM30" s="147"/>
      <c r="IN30" s="147"/>
      <c r="IO30" s="147"/>
      <c r="IP30" s="147"/>
      <c r="IQ30" s="147"/>
      <c r="IR30" s="147"/>
      <c r="IS30" s="147"/>
      <c r="IT30" s="147"/>
      <c r="IU30" s="147"/>
    </row>
    <row r="31" spans="1:255" s="248" customFormat="1" ht="31.5" customHeight="1">
      <c r="A31" s="230" t="s">
        <v>744</v>
      </c>
      <c r="B31" s="145"/>
      <c r="C31" s="265"/>
      <c r="D31" s="266"/>
      <c r="E31" s="230"/>
      <c r="F31" s="145"/>
      <c r="G31" s="230"/>
      <c r="H31" s="230"/>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7"/>
      <c r="CE31" s="147"/>
      <c r="CF31" s="147"/>
      <c r="CG31" s="147"/>
      <c r="CH31" s="147"/>
      <c r="CI31" s="147"/>
      <c r="CJ31" s="147"/>
      <c r="CK31" s="147"/>
      <c r="CL31" s="147"/>
      <c r="CM31" s="147"/>
      <c r="CN31" s="147"/>
      <c r="CO31" s="147"/>
      <c r="CP31" s="147"/>
      <c r="CQ31" s="147"/>
      <c r="CR31" s="147"/>
      <c r="CS31" s="147"/>
      <c r="CT31" s="147"/>
      <c r="CU31" s="147"/>
      <c r="CV31" s="147"/>
      <c r="CW31" s="147"/>
      <c r="CX31" s="147"/>
      <c r="CY31" s="147"/>
      <c r="CZ31" s="147"/>
      <c r="DA31" s="147"/>
      <c r="DB31" s="147"/>
      <c r="DC31" s="147"/>
      <c r="DD31" s="147"/>
      <c r="DE31" s="147"/>
      <c r="DF31" s="147"/>
      <c r="DG31" s="147"/>
      <c r="DH31" s="147"/>
      <c r="DI31" s="147"/>
      <c r="DJ31" s="147"/>
      <c r="DK31" s="147"/>
      <c r="DL31" s="147"/>
      <c r="DM31" s="147"/>
      <c r="DN31" s="147"/>
      <c r="DO31" s="147"/>
      <c r="DP31" s="147"/>
      <c r="DQ31" s="147"/>
      <c r="DR31" s="147"/>
      <c r="DS31" s="147"/>
      <c r="DT31" s="147"/>
      <c r="DU31" s="147"/>
      <c r="DV31" s="147"/>
      <c r="DW31" s="147"/>
      <c r="DX31" s="147"/>
      <c r="DY31" s="147"/>
      <c r="DZ31" s="147"/>
      <c r="EA31" s="147"/>
      <c r="EB31" s="147"/>
      <c r="EC31" s="147"/>
      <c r="ED31" s="147"/>
      <c r="EE31" s="147"/>
      <c r="EF31" s="147"/>
      <c r="EG31" s="147"/>
      <c r="EH31" s="147"/>
      <c r="EI31" s="147"/>
      <c r="EJ31" s="147"/>
      <c r="EK31" s="147"/>
      <c r="EL31" s="147"/>
      <c r="EM31" s="147"/>
      <c r="EN31" s="147"/>
      <c r="EO31" s="147"/>
      <c r="EP31" s="147"/>
      <c r="EQ31" s="147"/>
      <c r="ER31" s="147"/>
      <c r="ES31" s="147"/>
      <c r="ET31" s="147"/>
      <c r="EU31" s="147"/>
      <c r="EV31" s="147"/>
      <c r="EW31" s="147"/>
      <c r="EX31" s="147"/>
      <c r="EY31" s="147"/>
      <c r="EZ31" s="147"/>
      <c r="FA31" s="147"/>
      <c r="FB31" s="147"/>
      <c r="FC31" s="147"/>
      <c r="FD31" s="147"/>
      <c r="FE31" s="147"/>
      <c r="FF31" s="147"/>
      <c r="FG31" s="147"/>
      <c r="FH31" s="147"/>
      <c r="FI31" s="147"/>
      <c r="FJ31" s="147"/>
      <c r="FK31" s="147"/>
      <c r="FL31" s="147"/>
      <c r="FM31" s="147"/>
      <c r="FN31" s="147"/>
      <c r="FO31" s="147"/>
      <c r="FP31" s="147"/>
      <c r="FQ31" s="147"/>
      <c r="FR31" s="147"/>
      <c r="FS31" s="147"/>
      <c r="FT31" s="147"/>
      <c r="FU31" s="147"/>
      <c r="FV31" s="147"/>
      <c r="FW31" s="147"/>
      <c r="FX31" s="147"/>
      <c r="FY31" s="147"/>
      <c r="FZ31" s="147"/>
      <c r="GA31" s="147"/>
      <c r="GB31" s="147"/>
      <c r="GC31" s="147"/>
      <c r="GD31" s="147"/>
      <c r="GE31" s="147"/>
      <c r="GF31" s="147"/>
      <c r="GG31" s="147"/>
      <c r="GH31" s="147"/>
      <c r="GI31" s="147"/>
      <c r="GJ31" s="147"/>
      <c r="GK31" s="147"/>
      <c r="GL31" s="147"/>
      <c r="GM31" s="147"/>
      <c r="GN31" s="147"/>
      <c r="GO31" s="147"/>
      <c r="GP31" s="147"/>
      <c r="GQ31" s="147"/>
      <c r="GR31" s="147"/>
      <c r="GS31" s="147"/>
      <c r="GT31" s="147"/>
      <c r="GU31" s="147"/>
      <c r="GV31" s="147"/>
      <c r="GW31" s="147"/>
      <c r="GX31" s="147"/>
      <c r="GY31" s="147"/>
      <c r="GZ31" s="147"/>
      <c r="HA31" s="147"/>
      <c r="HB31" s="147"/>
      <c r="HC31" s="147"/>
      <c r="HD31" s="147"/>
      <c r="HE31" s="147"/>
      <c r="HF31" s="147"/>
      <c r="HG31" s="147"/>
      <c r="HH31" s="147"/>
      <c r="HI31" s="147"/>
      <c r="HJ31" s="147"/>
      <c r="HK31" s="147"/>
      <c r="HL31" s="147"/>
      <c r="HM31" s="147"/>
      <c r="HN31" s="147"/>
      <c r="HO31" s="147"/>
      <c r="HP31" s="147"/>
      <c r="HQ31" s="147"/>
      <c r="HR31" s="147"/>
      <c r="HS31" s="147"/>
      <c r="HT31" s="147"/>
      <c r="HU31" s="147"/>
      <c r="HV31" s="147"/>
      <c r="HW31" s="147"/>
      <c r="HX31" s="147"/>
      <c r="HY31" s="147"/>
      <c r="HZ31" s="147"/>
      <c r="IA31" s="147"/>
      <c r="IB31" s="147"/>
      <c r="IC31" s="147"/>
      <c r="ID31" s="147"/>
      <c r="IE31" s="147"/>
      <c r="IF31" s="147"/>
      <c r="IG31" s="147"/>
      <c r="IH31" s="147"/>
      <c r="II31" s="147"/>
      <c r="IJ31" s="147"/>
      <c r="IK31" s="147"/>
      <c r="IL31" s="147"/>
      <c r="IM31" s="147"/>
      <c r="IN31" s="147"/>
      <c r="IO31" s="147"/>
      <c r="IP31" s="147"/>
      <c r="IQ31" s="147"/>
      <c r="IR31" s="147"/>
      <c r="IS31" s="147"/>
      <c r="IT31" s="147"/>
      <c r="IU31" s="147"/>
    </row>
    <row r="32" spans="1:255" s="248" customFormat="1" ht="31.5" customHeight="1">
      <c r="A32" s="230" t="s">
        <v>745</v>
      </c>
      <c r="B32" s="145"/>
      <c r="C32" s="145"/>
      <c r="D32" s="247"/>
      <c r="E32" s="145"/>
      <c r="F32" s="145"/>
      <c r="G32" s="145"/>
      <c r="H32" s="145"/>
      <c r="J32" s="147"/>
    </row>
    <row r="33" spans="1:8" s="248" customFormat="1" ht="31.5" customHeight="1">
      <c r="A33" s="230" t="s">
        <v>746</v>
      </c>
      <c r="B33" s="145"/>
      <c r="C33" s="145"/>
      <c r="D33" s="230"/>
      <c r="E33" s="254" t="s">
        <v>747</v>
      </c>
      <c r="F33" s="267"/>
      <c r="G33" s="230" t="s">
        <v>748</v>
      </c>
      <c r="H33" s="267"/>
    </row>
    <row r="34" spans="1:8" s="248" customFormat="1" ht="31.5" customHeight="1">
      <c r="A34" s="230" t="s">
        <v>749</v>
      </c>
      <c r="B34" s="145"/>
      <c r="C34" s="145"/>
      <c r="D34" s="230"/>
      <c r="E34" s="230" t="s">
        <v>715</v>
      </c>
      <c r="F34" s="145"/>
      <c r="G34" s="145"/>
      <c r="H34" s="145"/>
    </row>
    <row r="35" spans="1:8" s="248" customFormat="1" ht="31.5" customHeight="1">
      <c r="A35" s="230" t="s">
        <v>750</v>
      </c>
      <c r="B35" s="145"/>
      <c r="C35" s="145"/>
      <c r="D35" s="268"/>
      <c r="E35" s="230" t="s">
        <v>751</v>
      </c>
      <c r="F35" s="230"/>
      <c r="G35" s="230"/>
      <c r="H35" s="145"/>
    </row>
    <row r="36" spans="1:8" s="248" customFormat="1" ht="31.5" customHeight="1">
      <c r="A36" s="230" t="s">
        <v>752</v>
      </c>
      <c r="B36" s="145"/>
      <c r="C36" s="255"/>
      <c r="D36" s="145"/>
      <c r="E36" s="269"/>
      <c r="F36" s="270"/>
      <c r="G36" s="145"/>
      <c r="H36" s="145"/>
    </row>
    <row r="37" spans="1:8" s="248" customFormat="1" ht="31.5" customHeight="1">
      <c r="A37" s="230" t="s">
        <v>753</v>
      </c>
      <c r="B37" s="145"/>
      <c r="C37" s="145"/>
      <c r="D37" s="252"/>
      <c r="E37" s="230" t="s">
        <v>754</v>
      </c>
      <c r="F37" s="145"/>
      <c r="G37" s="285"/>
      <c r="H37" s="285"/>
    </row>
    <row r="38" spans="1:8" s="248" customFormat="1" ht="31.5" customHeight="1">
      <c r="A38" s="230" t="s">
        <v>755</v>
      </c>
      <c r="B38" s="145"/>
      <c r="C38" s="145"/>
      <c r="D38" s="252"/>
      <c r="E38" s="230" t="s">
        <v>756</v>
      </c>
      <c r="F38" s="145"/>
      <c r="G38" s="285"/>
      <c r="H38" s="285"/>
    </row>
    <row r="39" spans="1:8" s="248" customFormat="1" ht="31.5" customHeight="1">
      <c r="A39" s="230" t="s">
        <v>757</v>
      </c>
      <c r="B39" s="145"/>
      <c r="C39" s="145"/>
      <c r="D39" s="271"/>
      <c r="E39" s="230" t="s">
        <v>758</v>
      </c>
      <c r="F39" s="145"/>
      <c r="G39" s="285"/>
      <c r="H39" s="285"/>
    </row>
    <row r="40" spans="1:8" s="125" customFormat="1" ht="16.8">
      <c r="A40" s="272"/>
      <c r="B40" s="272"/>
      <c r="C40" s="272"/>
      <c r="D40" s="272"/>
      <c r="E40" s="272"/>
      <c r="F40" s="272"/>
      <c r="G40" s="272"/>
      <c r="H40" s="272"/>
    </row>
    <row r="41" spans="1:8" s="125" customFormat="1" ht="16.8">
      <c r="A41" s="272"/>
      <c r="B41" s="272"/>
      <c r="C41" s="272"/>
      <c r="D41" s="272"/>
      <c r="E41" s="272"/>
      <c r="F41" s="272"/>
      <c r="G41" s="272"/>
      <c r="H41" s="272"/>
    </row>
    <row r="42" spans="1:8" s="125" customFormat="1" ht="16.8">
      <c r="A42" s="272"/>
      <c r="B42" s="272"/>
      <c r="C42" s="272"/>
      <c r="D42" s="272"/>
      <c r="E42" s="272"/>
      <c r="F42" s="272"/>
      <c r="G42" s="272"/>
      <c r="H42" s="272"/>
    </row>
    <row r="43" spans="1:8" s="125" customFormat="1" ht="16.8">
      <c r="A43" s="272"/>
      <c r="B43" s="272"/>
      <c r="C43" s="272"/>
      <c r="D43" s="272"/>
      <c r="E43" s="272"/>
      <c r="F43" s="272"/>
      <c r="G43" s="272"/>
      <c r="H43" s="272"/>
    </row>
    <row r="44" spans="1:8" s="125" customFormat="1" ht="16.8">
      <c r="A44" s="272"/>
      <c r="B44" s="272"/>
      <c r="C44" s="272"/>
      <c r="D44" s="272"/>
      <c r="E44" s="272"/>
      <c r="F44" s="272"/>
      <c r="G44" s="272"/>
      <c r="H44" s="272"/>
    </row>
    <row r="45" spans="1:8" s="125" customFormat="1" ht="16.8">
      <c r="A45" s="272"/>
      <c r="B45" s="272"/>
      <c r="C45" s="272"/>
      <c r="D45" s="272"/>
      <c r="E45" s="272"/>
      <c r="F45" s="272"/>
      <c r="G45" s="272"/>
      <c r="H45" s="272"/>
    </row>
    <row r="46" spans="1:8" s="125" customFormat="1" ht="16.8">
      <c r="A46" s="272"/>
      <c r="B46" s="272"/>
      <c r="C46" s="272"/>
      <c r="D46" s="272"/>
      <c r="E46" s="272"/>
      <c r="F46" s="272"/>
      <c r="G46" s="272"/>
      <c r="H46" s="272"/>
    </row>
    <row r="47" spans="1:8" s="125" customFormat="1" ht="16.8">
      <c r="A47" s="272"/>
      <c r="B47" s="272"/>
      <c r="C47" s="272"/>
      <c r="D47" s="272"/>
      <c r="E47" s="272"/>
      <c r="F47" s="272"/>
      <c r="G47" s="272"/>
      <c r="H47" s="272"/>
    </row>
    <row r="48" spans="1:8" s="125" customFormat="1" ht="16.8">
      <c r="A48" s="272"/>
      <c r="B48" s="272"/>
      <c r="C48" s="272"/>
      <c r="D48" s="272"/>
      <c r="E48" s="272"/>
      <c r="F48" s="272"/>
      <c r="G48" s="272"/>
      <c r="H48" s="272"/>
    </row>
    <row r="49" spans="1:8" s="125" customFormat="1" ht="16.8">
      <c r="A49" s="272"/>
      <c r="B49" s="272"/>
      <c r="C49" s="272"/>
      <c r="D49" s="272"/>
      <c r="E49" s="272"/>
      <c r="F49" s="272"/>
      <c r="G49" s="272"/>
      <c r="H49" s="272"/>
    </row>
    <row r="50" spans="1:8" s="125" customFormat="1" ht="16.8">
      <c r="A50" s="272"/>
      <c r="B50" s="272"/>
      <c r="C50" s="272"/>
      <c r="D50" s="272"/>
      <c r="E50" s="272"/>
      <c r="F50" s="272"/>
      <c r="G50" s="272"/>
      <c r="H50" s="272"/>
    </row>
    <row r="51" spans="1:8" s="125" customFormat="1" ht="16.8">
      <c r="A51" s="272"/>
      <c r="B51" s="272"/>
      <c r="C51" s="272"/>
      <c r="D51" s="272"/>
      <c r="E51" s="272"/>
      <c r="F51" s="272"/>
      <c r="G51" s="272"/>
      <c r="H51" s="272"/>
    </row>
    <row r="52" spans="1:8" s="125" customFormat="1" ht="16.8">
      <c r="A52" s="272"/>
      <c r="B52" s="272"/>
      <c r="C52" s="272"/>
      <c r="D52" s="272"/>
      <c r="E52" s="272"/>
      <c r="F52" s="272"/>
      <c r="G52" s="272"/>
      <c r="H52" s="272"/>
    </row>
    <row r="53" spans="1:8" s="125" customFormat="1" ht="16.8">
      <c r="A53" s="272"/>
      <c r="B53" s="272"/>
      <c r="C53" s="272"/>
      <c r="D53" s="272"/>
      <c r="E53" s="272"/>
      <c r="F53" s="272"/>
      <c r="G53" s="272"/>
      <c r="H53" s="272"/>
    </row>
    <row r="54" spans="1:8" s="125" customFormat="1" ht="16.8">
      <c r="A54" s="272"/>
      <c r="B54" s="272"/>
      <c r="C54" s="272"/>
      <c r="D54" s="272"/>
      <c r="E54" s="272"/>
      <c r="F54" s="272"/>
      <c r="G54" s="272"/>
      <c r="H54" s="272"/>
    </row>
    <row r="55" spans="1:8" s="125" customFormat="1" ht="16.8">
      <c r="A55" s="272"/>
      <c r="B55" s="272"/>
      <c r="C55" s="272"/>
      <c r="D55" s="272"/>
      <c r="E55" s="272"/>
      <c r="F55" s="272"/>
      <c r="G55" s="272"/>
      <c r="H55" s="272"/>
    </row>
    <row r="56" spans="1:8" s="125" customFormat="1" ht="16.8">
      <c r="A56" s="272"/>
      <c r="B56" s="272"/>
      <c r="C56" s="272"/>
      <c r="D56" s="272"/>
      <c r="E56" s="272"/>
      <c r="F56" s="272"/>
      <c r="G56" s="272"/>
      <c r="H56" s="272"/>
    </row>
    <row r="57" spans="1:8" s="125" customFormat="1" ht="16.8">
      <c r="A57" s="272"/>
      <c r="B57" s="272"/>
      <c r="C57" s="272"/>
      <c r="D57" s="272"/>
      <c r="E57" s="272"/>
      <c r="F57" s="272"/>
      <c r="G57" s="272"/>
      <c r="H57" s="272"/>
    </row>
    <row r="58" spans="1:8" s="125" customFormat="1" ht="16.8">
      <c r="A58" s="272"/>
      <c r="B58" s="272"/>
      <c r="C58" s="272"/>
      <c r="D58" s="272"/>
      <c r="E58" s="272"/>
      <c r="F58" s="272"/>
      <c r="G58" s="272"/>
      <c r="H58" s="272"/>
    </row>
    <row r="59" spans="1:8" s="125" customFormat="1" ht="16.8">
      <c r="A59" s="272"/>
      <c r="B59" s="272"/>
      <c r="C59" s="272"/>
      <c r="D59" s="272"/>
      <c r="E59" s="272"/>
      <c r="F59" s="272"/>
      <c r="G59" s="272"/>
      <c r="H59" s="272"/>
    </row>
    <row r="60" spans="1:8" s="125" customFormat="1" ht="16.8">
      <c r="A60" s="272"/>
      <c r="B60" s="272"/>
      <c r="C60" s="272"/>
      <c r="D60" s="272"/>
      <c r="E60" s="272"/>
      <c r="F60" s="272"/>
      <c r="G60" s="272"/>
      <c r="H60" s="272"/>
    </row>
    <row r="61" spans="1:8" s="125" customFormat="1" ht="16.8">
      <c r="A61" s="272"/>
      <c r="B61" s="272"/>
      <c r="C61" s="272"/>
      <c r="D61" s="272"/>
      <c r="E61" s="272"/>
      <c r="F61" s="272"/>
      <c r="G61" s="272"/>
      <c r="H61" s="272"/>
    </row>
    <row r="62" spans="1:8" s="125" customFormat="1" ht="16.8">
      <c r="A62" s="272"/>
      <c r="B62" s="272"/>
      <c r="C62" s="272"/>
      <c r="D62" s="272"/>
      <c r="E62" s="272"/>
      <c r="F62" s="272"/>
      <c r="G62" s="272"/>
      <c r="H62" s="272"/>
    </row>
    <row r="63" spans="1:8" s="125" customFormat="1" ht="16.8">
      <c r="A63" s="272"/>
      <c r="B63" s="272"/>
      <c r="C63" s="272"/>
      <c r="D63" s="272"/>
      <c r="E63" s="272"/>
      <c r="F63" s="272"/>
      <c r="G63" s="272"/>
      <c r="H63" s="272"/>
    </row>
    <row r="64" spans="1:8" s="125" customFormat="1" ht="16.8">
      <c r="A64" s="272"/>
      <c r="B64" s="272"/>
      <c r="C64" s="272"/>
      <c r="D64" s="272"/>
      <c r="E64" s="272"/>
      <c r="F64" s="272"/>
      <c r="G64" s="272"/>
      <c r="H64" s="272"/>
    </row>
    <row r="65" spans="1:8" s="125" customFormat="1" ht="16.8">
      <c r="A65" s="272"/>
      <c r="B65" s="272"/>
      <c r="C65" s="272"/>
      <c r="D65" s="272"/>
      <c r="E65" s="272"/>
      <c r="F65" s="272"/>
      <c r="G65" s="272"/>
      <c r="H65" s="272"/>
    </row>
    <row r="66" spans="1:8" s="125" customFormat="1" ht="16.8">
      <c r="A66" s="272"/>
      <c r="B66" s="272"/>
      <c r="C66" s="272"/>
      <c r="D66" s="272"/>
      <c r="E66" s="272"/>
      <c r="F66" s="272"/>
      <c r="G66" s="272"/>
      <c r="H66" s="272"/>
    </row>
    <row r="67" spans="1:8" s="125" customFormat="1" ht="16.8">
      <c r="A67" s="272"/>
      <c r="B67" s="272"/>
      <c r="C67" s="272"/>
      <c r="D67" s="272"/>
      <c r="E67" s="272"/>
      <c r="F67" s="272"/>
      <c r="G67" s="272"/>
      <c r="H67" s="272"/>
    </row>
    <row r="68" spans="1:8" s="125" customFormat="1" ht="16.8">
      <c r="A68" s="272"/>
      <c r="B68" s="272"/>
      <c r="C68" s="272"/>
      <c r="D68" s="272"/>
      <c r="E68" s="272"/>
      <c r="F68" s="272"/>
      <c r="G68" s="272"/>
      <c r="H68" s="272"/>
    </row>
    <row r="69" spans="1:8" s="125" customFormat="1" ht="16.8">
      <c r="A69" s="272"/>
      <c r="B69" s="272"/>
      <c r="C69" s="272"/>
      <c r="D69" s="272"/>
      <c r="E69" s="272"/>
      <c r="F69" s="272"/>
      <c r="G69" s="272"/>
      <c r="H69" s="272"/>
    </row>
    <row r="70" spans="1:8" s="125" customFormat="1" ht="16.8">
      <c r="A70" s="272"/>
      <c r="B70" s="272"/>
      <c r="C70" s="272"/>
      <c r="D70" s="272"/>
      <c r="E70" s="272"/>
      <c r="F70" s="272"/>
      <c r="G70" s="272"/>
      <c r="H70" s="272"/>
    </row>
    <row r="71" spans="1:8" s="125" customFormat="1" ht="16.8">
      <c r="A71" s="272"/>
      <c r="B71" s="272"/>
      <c r="C71" s="272"/>
      <c r="D71" s="272"/>
      <c r="E71" s="272"/>
      <c r="F71" s="272"/>
      <c r="G71" s="272"/>
      <c r="H71" s="272"/>
    </row>
    <row r="72" spans="1:8" s="125" customFormat="1" ht="16.8">
      <c r="A72" s="272"/>
      <c r="B72" s="272"/>
      <c r="C72" s="272"/>
      <c r="D72" s="272"/>
      <c r="E72" s="272"/>
      <c r="F72" s="272"/>
      <c r="G72" s="272"/>
      <c r="H72" s="272"/>
    </row>
    <row r="73" spans="1:8" s="125" customFormat="1" ht="16.8">
      <c r="A73" s="272"/>
      <c r="B73" s="272"/>
      <c r="C73" s="272"/>
      <c r="D73" s="272"/>
      <c r="E73" s="272"/>
      <c r="F73" s="272"/>
      <c r="G73" s="272"/>
      <c r="H73" s="272"/>
    </row>
    <row r="74" spans="1:8" s="125" customFormat="1" ht="16.8">
      <c r="A74" s="272"/>
      <c r="B74" s="272"/>
      <c r="C74" s="272"/>
      <c r="D74" s="272"/>
      <c r="E74" s="272"/>
      <c r="F74" s="272"/>
      <c r="G74" s="272"/>
      <c r="H74" s="272"/>
    </row>
    <row r="75" spans="1:8" s="125" customFormat="1" ht="16.8">
      <c r="A75" s="272"/>
      <c r="B75" s="272"/>
      <c r="C75" s="272"/>
      <c r="D75" s="272"/>
      <c r="E75" s="272"/>
      <c r="F75" s="272"/>
      <c r="G75" s="272"/>
      <c r="H75" s="272"/>
    </row>
    <row r="76" spans="1:8" s="125" customFormat="1" ht="16.8">
      <c r="A76" s="272"/>
      <c r="B76" s="272"/>
      <c r="C76" s="272"/>
      <c r="D76" s="272"/>
      <c r="E76" s="272"/>
      <c r="F76" s="272"/>
      <c r="G76" s="272"/>
      <c r="H76" s="272"/>
    </row>
    <row r="77" spans="1:8" s="125" customFormat="1" ht="16.8">
      <c r="A77" s="272"/>
      <c r="B77" s="272"/>
      <c r="C77" s="272"/>
      <c r="D77" s="272"/>
      <c r="E77" s="272"/>
      <c r="F77" s="272"/>
      <c r="G77" s="272"/>
      <c r="H77" s="272"/>
    </row>
    <row r="78" spans="1:8" s="125" customFormat="1" ht="16.8">
      <c r="A78" s="272"/>
      <c r="B78" s="272"/>
      <c r="C78" s="272"/>
      <c r="D78" s="272"/>
      <c r="E78" s="272"/>
      <c r="F78" s="272"/>
      <c r="G78" s="272"/>
      <c r="H78" s="272"/>
    </row>
  </sheetData>
  <mergeCells count="9">
    <mergeCell ref="G37:H37"/>
    <mergeCell ref="G38:H38"/>
    <mergeCell ref="G39:H39"/>
    <mergeCell ref="A1:B3"/>
    <mergeCell ref="C1:F3"/>
    <mergeCell ref="G1:H1"/>
    <mergeCell ref="G2:H2"/>
    <mergeCell ref="G3:H3"/>
    <mergeCell ref="A11:H11"/>
  </mergeCells>
  <conditionalFormatting sqref="E25">
    <cfRule type="duplicateValues" dxfId="1" priority="1"/>
    <cfRule type="duplicateValues" dxfId="0" priority="2" stopIfTrue="1"/>
  </conditionalFormatting>
  <pageMargins left="0.62" right="0.28000000000000003" top="0.46" bottom="0.48" header="0.3" footer="0.3"/>
  <pageSetup paperSize="9" scale="70" fitToWidth="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from>
                    <xdr:col>2</xdr:col>
                    <xdr:colOff>289560</xdr:colOff>
                    <xdr:row>14</xdr:row>
                    <xdr:rowOff>327660</xdr:rowOff>
                  </from>
                  <to>
                    <xdr:col>2</xdr:col>
                    <xdr:colOff>594360</xdr:colOff>
                    <xdr:row>15</xdr:row>
                    <xdr:rowOff>312420</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from>
                    <xdr:col>2</xdr:col>
                    <xdr:colOff>289560</xdr:colOff>
                    <xdr:row>16</xdr:row>
                    <xdr:rowOff>7620</xdr:rowOff>
                  </from>
                  <to>
                    <xdr:col>2</xdr:col>
                    <xdr:colOff>594360</xdr:colOff>
                    <xdr:row>16</xdr:row>
                    <xdr:rowOff>312420</xdr:rowOff>
                  </to>
                </anchor>
              </controlPr>
            </control>
          </mc:Choice>
        </mc:AlternateContent>
        <mc:AlternateContent xmlns:mc="http://schemas.openxmlformats.org/markup-compatibility/2006">
          <mc:Choice Requires="x14">
            <control shapeId="34819" r:id="rId6" name="Check Box 3">
              <controlPr defaultSize="0" autoFill="0" autoLine="0" autoPict="0">
                <anchor moveWithCells="1">
                  <from>
                    <xdr:col>1</xdr:col>
                    <xdr:colOff>236220</xdr:colOff>
                    <xdr:row>20</xdr:row>
                    <xdr:rowOff>327660</xdr:rowOff>
                  </from>
                  <to>
                    <xdr:col>1</xdr:col>
                    <xdr:colOff>541020</xdr:colOff>
                    <xdr:row>21</xdr:row>
                    <xdr:rowOff>312420</xdr:rowOff>
                  </to>
                </anchor>
              </controlPr>
            </control>
          </mc:Choice>
        </mc:AlternateContent>
        <mc:AlternateContent xmlns:mc="http://schemas.openxmlformats.org/markup-compatibility/2006">
          <mc:Choice Requires="x14">
            <control shapeId="34820" r:id="rId7" name="Check Box 4">
              <controlPr defaultSize="0" autoFill="0" autoLine="0" autoPict="0">
                <anchor moveWithCells="1">
                  <from>
                    <xdr:col>1</xdr:col>
                    <xdr:colOff>236220</xdr:colOff>
                    <xdr:row>22</xdr:row>
                    <xdr:rowOff>30480</xdr:rowOff>
                  </from>
                  <to>
                    <xdr:col>1</xdr:col>
                    <xdr:colOff>541020</xdr:colOff>
                    <xdr:row>23</xdr:row>
                    <xdr:rowOff>7620</xdr:rowOff>
                  </to>
                </anchor>
              </controlPr>
            </control>
          </mc:Choice>
        </mc:AlternateContent>
        <mc:AlternateContent xmlns:mc="http://schemas.openxmlformats.org/markup-compatibility/2006">
          <mc:Choice Requires="x14">
            <control shapeId="34821" r:id="rId8" name="Check Box 5">
              <controlPr defaultSize="0" autoFill="0" autoLine="0" autoPict="0">
                <anchor moveWithCells="1">
                  <from>
                    <xdr:col>6</xdr:col>
                    <xdr:colOff>876300</xdr:colOff>
                    <xdr:row>26</xdr:row>
                    <xdr:rowOff>0</xdr:rowOff>
                  </from>
                  <to>
                    <xdr:col>7</xdr:col>
                    <xdr:colOff>38100</xdr:colOff>
                    <xdr:row>26</xdr:row>
                    <xdr:rowOff>312420</xdr:rowOff>
                  </to>
                </anchor>
              </controlPr>
            </control>
          </mc:Choice>
        </mc:AlternateContent>
        <mc:AlternateContent xmlns:mc="http://schemas.openxmlformats.org/markup-compatibility/2006">
          <mc:Choice Requires="x14">
            <control shapeId="34822" r:id="rId9" name="Check Box 6">
              <controlPr defaultSize="0" autoFill="0" autoLine="0" autoPict="0">
                <anchor moveWithCells="1">
                  <from>
                    <xdr:col>6</xdr:col>
                    <xdr:colOff>274320</xdr:colOff>
                    <xdr:row>27</xdr:row>
                    <xdr:rowOff>7620</xdr:rowOff>
                  </from>
                  <to>
                    <xdr:col>6</xdr:col>
                    <xdr:colOff>579120</xdr:colOff>
                    <xdr:row>28</xdr:row>
                    <xdr:rowOff>0</xdr:rowOff>
                  </to>
                </anchor>
              </controlPr>
            </control>
          </mc:Choice>
        </mc:AlternateContent>
        <mc:AlternateContent xmlns:mc="http://schemas.openxmlformats.org/markup-compatibility/2006">
          <mc:Choice Requires="x14">
            <control shapeId="34823" r:id="rId10" name="Check Box 7">
              <controlPr defaultSize="0" autoFill="0" autoLine="0" autoPict="0">
                <anchor moveWithCells="1">
                  <from>
                    <xdr:col>4</xdr:col>
                    <xdr:colOff>403860</xdr:colOff>
                    <xdr:row>25</xdr:row>
                    <xdr:rowOff>327660</xdr:rowOff>
                  </from>
                  <to>
                    <xdr:col>4</xdr:col>
                    <xdr:colOff>708660</xdr:colOff>
                    <xdr:row>26</xdr:row>
                    <xdr:rowOff>312420</xdr:rowOff>
                  </to>
                </anchor>
              </controlPr>
            </control>
          </mc:Choice>
        </mc:AlternateContent>
        <mc:AlternateContent xmlns:mc="http://schemas.openxmlformats.org/markup-compatibility/2006">
          <mc:Choice Requires="x14">
            <control shapeId="34824" r:id="rId11" name="Check Box 8">
              <controlPr defaultSize="0" autoFill="0" autoLine="0" autoPict="0">
                <anchor moveWithCells="1">
                  <from>
                    <xdr:col>4</xdr:col>
                    <xdr:colOff>411480</xdr:colOff>
                    <xdr:row>27</xdr:row>
                    <xdr:rowOff>0</xdr:rowOff>
                  </from>
                  <to>
                    <xdr:col>4</xdr:col>
                    <xdr:colOff>716280</xdr:colOff>
                    <xdr:row>27</xdr:row>
                    <xdr:rowOff>312420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BDD6-6DBE-4523-AFDF-65730F063264}">
  <dimension ref="A1:T55"/>
  <sheetViews>
    <sheetView zoomScale="70" zoomScaleNormal="70" workbookViewId="0">
      <selection activeCell="P1" sqref="P1:R3"/>
    </sheetView>
  </sheetViews>
  <sheetFormatPr defaultColWidth="9.1796875" defaultRowHeight="13.2"/>
  <cols>
    <col min="1" max="1" width="2.08984375" style="40" customWidth="1"/>
    <col min="2" max="2" width="6.1796875" style="40" customWidth="1"/>
    <col min="3" max="3" width="4.90625" style="40" customWidth="1"/>
    <col min="4" max="4" width="6.6328125" style="40" customWidth="1"/>
    <col min="5" max="5" width="4.90625" style="40" customWidth="1"/>
    <col min="6" max="6" width="4.6328125" style="40" customWidth="1"/>
    <col min="7" max="7" width="3.36328125" style="40" customWidth="1"/>
    <col min="8" max="8" width="10.81640625" style="40" customWidth="1"/>
    <col min="9" max="10" width="8.36328125" style="40" customWidth="1"/>
    <col min="11" max="11" width="7.453125" style="40" customWidth="1"/>
    <col min="12" max="12" width="5.6328125" style="40" customWidth="1"/>
    <col min="13" max="13" width="6.81640625" style="40" customWidth="1"/>
    <col min="14" max="14" width="2.6328125" style="40" customWidth="1"/>
    <col min="15" max="15" width="15" style="40" customWidth="1"/>
    <col min="16" max="16" width="13.54296875" style="40" customWidth="1"/>
    <col min="17" max="17" width="13.6328125" style="40" customWidth="1"/>
    <col min="18" max="18" width="14" style="40" customWidth="1"/>
    <col min="19" max="19" width="13.36328125" style="40" customWidth="1"/>
    <col min="20" max="20" width="12.6328125" style="40" customWidth="1"/>
    <col min="21" max="21" width="25.36328125" style="40" customWidth="1"/>
    <col min="22" max="16384" width="9.1796875" style="40"/>
  </cols>
  <sheetData>
    <row r="1" spans="1:20" ht="17.399999999999999" customHeight="1">
      <c r="A1" s="299"/>
      <c r="B1" s="299"/>
      <c r="C1" s="299"/>
      <c r="D1" s="299"/>
      <c r="E1" s="302" t="s">
        <v>79</v>
      </c>
      <c r="F1" s="302"/>
      <c r="G1" s="302"/>
      <c r="H1" s="302"/>
      <c r="I1" s="302"/>
      <c r="J1" s="302"/>
      <c r="K1" s="296" t="s">
        <v>80</v>
      </c>
      <c r="L1" s="296"/>
      <c r="M1" s="296"/>
      <c r="O1" s="305"/>
      <c r="P1" s="308" t="s">
        <v>79</v>
      </c>
      <c r="Q1" s="309"/>
      <c r="R1" s="310"/>
      <c r="S1" s="296" t="s">
        <v>80</v>
      </c>
      <c r="T1" s="296"/>
    </row>
    <row r="2" spans="1:20" ht="24.9" customHeight="1">
      <c r="A2" s="300"/>
      <c r="B2" s="300"/>
      <c r="C2" s="300"/>
      <c r="D2" s="300"/>
      <c r="E2" s="303"/>
      <c r="F2" s="303"/>
      <c r="G2" s="303"/>
      <c r="H2" s="303"/>
      <c r="I2" s="303"/>
      <c r="J2" s="303"/>
      <c r="K2" s="297" t="s">
        <v>81</v>
      </c>
      <c r="L2" s="297"/>
      <c r="M2" s="297"/>
      <c r="O2" s="306"/>
      <c r="P2" s="311"/>
      <c r="Q2" s="312"/>
      <c r="R2" s="313"/>
      <c r="S2" s="297" t="s">
        <v>81</v>
      </c>
      <c r="T2" s="297"/>
    </row>
    <row r="3" spans="1:20" ht="17.399999999999999" customHeight="1" thickBot="1">
      <c r="A3" s="301"/>
      <c r="B3" s="301"/>
      <c r="C3" s="301"/>
      <c r="D3" s="301"/>
      <c r="E3" s="304"/>
      <c r="F3" s="304"/>
      <c r="G3" s="304"/>
      <c r="H3" s="304"/>
      <c r="I3" s="304"/>
      <c r="J3" s="304"/>
      <c r="K3" s="298" t="s">
        <v>82</v>
      </c>
      <c r="L3" s="298"/>
      <c r="M3" s="298"/>
      <c r="O3" s="307"/>
      <c r="P3" s="314"/>
      <c r="Q3" s="315"/>
      <c r="R3" s="316"/>
      <c r="S3" s="298" t="s">
        <v>82</v>
      </c>
      <c r="T3" s="298"/>
    </row>
    <row r="4" spans="1:20" s="5" customFormat="1" ht="9.75" customHeight="1">
      <c r="D4" s="6"/>
      <c r="E4" s="6"/>
      <c r="F4" s="6"/>
      <c r="G4" s="6"/>
      <c r="H4" s="6"/>
      <c r="I4" s="6"/>
      <c r="J4" s="6"/>
      <c r="K4" s="6"/>
      <c r="L4" s="7"/>
      <c r="M4" s="7"/>
      <c r="N4" s="7"/>
      <c r="O4" s="6"/>
      <c r="P4" s="6"/>
      <c r="Q4" s="6"/>
      <c r="R4" s="6"/>
      <c r="S4" s="6"/>
      <c r="T4" s="7"/>
    </row>
    <row r="5" spans="1:20" s="8" customFormat="1" ht="23.4" customHeight="1">
      <c r="B5" s="317" t="s">
        <v>83</v>
      </c>
      <c r="C5" s="332" t="s">
        <v>84</v>
      </c>
      <c r="D5" s="333" t="s">
        <v>85</v>
      </c>
      <c r="E5" s="334" t="s">
        <v>86</v>
      </c>
      <c r="F5" s="334"/>
      <c r="G5" s="334"/>
      <c r="H5" s="317" t="s">
        <v>87</v>
      </c>
      <c r="I5" s="317"/>
      <c r="J5" s="317"/>
      <c r="K5" s="317"/>
      <c r="L5" s="317" t="s">
        <v>88</v>
      </c>
      <c r="M5" s="317"/>
      <c r="N5" s="11"/>
      <c r="O5" s="317" t="s">
        <v>89</v>
      </c>
      <c r="P5" s="317"/>
      <c r="Q5" s="317"/>
      <c r="R5" s="317"/>
      <c r="S5" s="318" t="s">
        <v>90</v>
      </c>
      <c r="T5" s="319" t="s">
        <v>91</v>
      </c>
    </row>
    <row r="6" spans="1:20" s="8" customFormat="1" ht="86.25" customHeight="1">
      <c r="B6" s="317"/>
      <c r="C6" s="332"/>
      <c r="D6" s="333"/>
      <c r="E6" s="9" t="s">
        <v>92</v>
      </c>
      <c r="F6" s="9" t="s">
        <v>93</v>
      </c>
      <c r="G6" s="9" t="s">
        <v>94</v>
      </c>
      <c r="H6" s="9" t="s">
        <v>95</v>
      </c>
      <c r="I6" s="9" t="s">
        <v>96</v>
      </c>
      <c r="J6" s="9" t="s">
        <v>97</v>
      </c>
      <c r="K6" s="9" t="s">
        <v>98</v>
      </c>
      <c r="L6" s="51" t="s">
        <v>99</v>
      </c>
      <c r="M6" s="49" t="s">
        <v>100</v>
      </c>
      <c r="N6" s="12"/>
      <c r="O6" s="9" t="s">
        <v>101</v>
      </c>
      <c r="P6" s="9" t="s">
        <v>102</v>
      </c>
      <c r="Q6" s="100" t="s">
        <v>103</v>
      </c>
      <c r="R6" s="9" t="s">
        <v>104</v>
      </c>
      <c r="S6" s="318"/>
      <c r="T6" s="319"/>
    </row>
    <row r="7" spans="1:20" s="8" customFormat="1" ht="37.5" customHeight="1">
      <c r="B7" s="45">
        <v>45497</v>
      </c>
      <c r="C7" s="44"/>
      <c r="D7" s="52"/>
      <c r="E7" s="53"/>
      <c r="F7" s="53"/>
      <c r="G7" s="54"/>
      <c r="H7" s="53"/>
      <c r="I7" s="44"/>
      <c r="J7" s="45"/>
      <c r="K7" s="52"/>
      <c r="L7" s="44"/>
      <c r="M7" s="55"/>
      <c r="N7" s="12"/>
      <c r="O7" s="44" t="s">
        <v>125</v>
      </c>
      <c r="P7" s="53" t="s">
        <v>191</v>
      </c>
      <c r="Q7" s="44" t="s">
        <v>192</v>
      </c>
      <c r="R7" s="56" t="s">
        <v>129</v>
      </c>
      <c r="S7" s="56"/>
      <c r="T7" s="10"/>
    </row>
    <row r="8" spans="1:20" s="8" customFormat="1" ht="37.5" customHeight="1">
      <c r="B8" s="45">
        <v>45498</v>
      </c>
      <c r="C8" s="44"/>
      <c r="D8" s="52"/>
      <c r="E8" s="53"/>
      <c r="F8" s="53"/>
      <c r="G8" s="53"/>
      <c r="H8" s="53"/>
      <c r="I8" s="44"/>
      <c r="J8" s="45"/>
      <c r="K8" s="52"/>
      <c r="L8" s="44"/>
      <c r="M8" s="55"/>
      <c r="N8" s="12"/>
      <c r="O8" s="44" t="s">
        <v>193</v>
      </c>
      <c r="P8" s="53" t="s">
        <v>194</v>
      </c>
      <c r="Q8" s="44" t="s">
        <v>195</v>
      </c>
      <c r="R8" s="56" t="s">
        <v>196</v>
      </c>
      <c r="S8" s="56"/>
      <c r="T8" s="10"/>
    </row>
    <row r="9" spans="1:20" s="8" customFormat="1" ht="37.5" customHeight="1">
      <c r="B9" s="45">
        <v>45500</v>
      </c>
      <c r="C9" s="44">
        <v>1</v>
      </c>
      <c r="D9" s="52">
        <v>451600</v>
      </c>
      <c r="E9" s="53" t="s">
        <v>197</v>
      </c>
      <c r="F9" s="53" t="s">
        <v>198</v>
      </c>
      <c r="G9" s="53" t="s">
        <v>174</v>
      </c>
      <c r="H9" s="53"/>
      <c r="I9" s="44"/>
      <c r="J9" s="45"/>
      <c r="K9" s="52">
        <v>0</v>
      </c>
      <c r="L9" s="52">
        <v>453</v>
      </c>
      <c r="M9" s="55">
        <v>9</v>
      </c>
      <c r="N9" s="12"/>
      <c r="O9" s="9"/>
      <c r="P9" s="9"/>
      <c r="Q9" s="9"/>
      <c r="R9" s="9"/>
      <c r="S9" s="57" t="s">
        <v>228</v>
      </c>
      <c r="T9" s="10"/>
    </row>
    <row r="10" spans="1:20" s="8" customFormat="1" ht="37.5" customHeight="1">
      <c r="B10" s="45">
        <v>45501</v>
      </c>
      <c r="C10" s="44">
        <f>C9+1</f>
        <v>2</v>
      </c>
      <c r="D10" s="52">
        <f>D9-L9</f>
        <v>451147</v>
      </c>
      <c r="E10" s="53" t="s">
        <v>197</v>
      </c>
      <c r="F10" s="53" t="s">
        <v>199</v>
      </c>
      <c r="G10" s="53" t="s">
        <v>179</v>
      </c>
      <c r="H10" s="53" t="s">
        <v>200</v>
      </c>
      <c r="I10" s="44" t="s">
        <v>201</v>
      </c>
      <c r="J10" s="45">
        <v>45572</v>
      </c>
      <c r="K10" s="52">
        <v>160</v>
      </c>
      <c r="L10" s="52">
        <v>667</v>
      </c>
      <c r="M10" s="55">
        <v>13.5</v>
      </c>
      <c r="N10" s="12"/>
      <c r="O10" s="9"/>
      <c r="P10" s="9"/>
      <c r="Q10" s="9"/>
      <c r="R10" s="9"/>
      <c r="S10" s="46" t="s">
        <v>227</v>
      </c>
      <c r="T10" s="10"/>
    </row>
    <row r="11" spans="1:20" s="8" customFormat="1" ht="37.5" customHeight="1">
      <c r="B11" s="45"/>
      <c r="C11" s="44"/>
      <c r="D11" s="52"/>
      <c r="E11" s="53"/>
      <c r="F11" s="53"/>
      <c r="G11" s="53"/>
      <c r="H11" s="53"/>
      <c r="I11" s="44"/>
      <c r="J11" s="45"/>
      <c r="K11" s="52"/>
      <c r="L11" s="52"/>
      <c r="M11" s="55"/>
      <c r="N11" s="12"/>
      <c r="O11" s="9"/>
      <c r="P11" s="9"/>
      <c r="Q11" s="9"/>
      <c r="R11" s="9"/>
      <c r="S11" s="46" t="s">
        <v>227</v>
      </c>
      <c r="T11" s="10"/>
    </row>
    <row r="12" spans="1:20" s="8" customFormat="1" ht="37.5" customHeight="1">
      <c r="B12" s="45">
        <v>45508</v>
      </c>
      <c r="C12" s="44">
        <v>9</v>
      </c>
      <c r="D12" s="52">
        <v>449113</v>
      </c>
      <c r="E12" s="53" t="s">
        <v>202</v>
      </c>
      <c r="F12" s="53" t="s">
        <v>203</v>
      </c>
      <c r="G12" s="53" t="s">
        <v>174</v>
      </c>
      <c r="H12" s="53" t="s">
        <v>200</v>
      </c>
      <c r="I12" s="44" t="s">
        <v>204</v>
      </c>
      <c r="J12" s="45">
        <v>45589</v>
      </c>
      <c r="K12" s="52">
        <v>200</v>
      </c>
      <c r="L12" s="52">
        <v>246</v>
      </c>
      <c r="M12" s="55">
        <v>6</v>
      </c>
      <c r="N12" s="12"/>
      <c r="O12" s="44" t="s">
        <v>210</v>
      </c>
      <c r="P12" s="53" t="s">
        <v>211</v>
      </c>
      <c r="Q12" s="44" t="s">
        <v>212</v>
      </c>
      <c r="R12" s="56" t="s">
        <v>213</v>
      </c>
      <c r="S12" s="46" t="s">
        <v>227</v>
      </c>
      <c r="T12" s="10"/>
    </row>
    <row r="13" spans="1:20" s="8" customFormat="1" ht="37.5" customHeight="1">
      <c r="B13" s="45">
        <v>45509</v>
      </c>
      <c r="C13" s="44">
        <v>10</v>
      </c>
      <c r="D13" s="52">
        <v>448867</v>
      </c>
      <c r="E13" s="53" t="s">
        <v>205</v>
      </c>
      <c r="F13" s="53" t="s">
        <v>206</v>
      </c>
      <c r="G13" s="53" t="s">
        <v>174</v>
      </c>
      <c r="H13" s="53" t="s">
        <v>200</v>
      </c>
      <c r="I13" s="44" t="s">
        <v>207</v>
      </c>
      <c r="J13" s="45">
        <v>45597</v>
      </c>
      <c r="K13" s="52">
        <v>200</v>
      </c>
      <c r="L13" s="52">
        <v>343</v>
      </c>
      <c r="M13" s="55">
        <v>8.5</v>
      </c>
      <c r="N13" s="12"/>
      <c r="O13" s="44" t="s">
        <v>210</v>
      </c>
      <c r="P13" s="53" t="s">
        <v>211</v>
      </c>
      <c r="Q13" s="44" t="s">
        <v>212</v>
      </c>
      <c r="R13" s="56" t="s">
        <v>213</v>
      </c>
      <c r="S13" s="46" t="s">
        <v>227</v>
      </c>
      <c r="T13" s="10"/>
    </row>
    <row r="14" spans="1:20" s="8" customFormat="1" ht="37.5" customHeight="1">
      <c r="B14" s="45">
        <v>45510</v>
      </c>
      <c r="C14" s="44">
        <v>11</v>
      </c>
      <c r="D14" s="52">
        <v>448524</v>
      </c>
      <c r="E14" s="53" t="s">
        <v>208</v>
      </c>
      <c r="F14" s="53" t="s">
        <v>209</v>
      </c>
      <c r="G14" s="53" t="s">
        <v>174</v>
      </c>
      <c r="H14" s="53" t="s">
        <v>200</v>
      </c>
      <c r="I14" s="44" t="s">
        <v>207</v>
      </c>
      <c r="J14" s="45">
        <v>45597</v>
      </c>
      <c r="K14" s="52">
        <v>200</v>
      </c>
      <c r="L14" s="52">
        <v>359</v>
      </c>
      <c r="M14" s="55">
        <v>9.5</v>
      </c>
      <c r="N14" s="12"/>
      <c r="O14" s="44" t="s">
        <v>125</v>
      </c>
      <c r="P14" s="53" t="s">
        <v>191</v>
      </c>
      <c r="Q14" s="44" t="s">
        <v>185</v>
      </c>
      <c r="R14" s="56" t="s">
        <v>133</v>
      </c>
      <c r="S14" s="46" t="s">
        <v>227</v>
      </c>
      <c r="T14" s="10"/>
    </row>
    <row r="15" spans="1:20" s="8" customFormat="1" ht="37.5" customHeight="1">
      <c r="B15" s="45">
        <v>45697</v>
      </c>
      <c r="C15" s="46">
        <v>198</v>
      </c>
      <c r="D15" s="58">
        <f t="shared" ref="D15" si="0">D14-L14</f>
        <v>448165</v>
      </c>
      <c r="E15" s="59" t="s">
        <v>172</v>
      </c>
      <c r="F15" s="59" t="s">
        <v>214</v>
      </c>
      <c r="G15" s="59" t="s">
        <v>179</v>
      </c>
      <c r="H15" s="59" t="s">
        <v>175</v>
      </c>
      <c r="I15" s="46" t="s">
        <v>215</v>
      </c>
      <c r="J15" s="60">
        <v>45782</v>
      </c>
      <c r="K15" s="58">
        <v>3600</v>
      </c>
      <c r="L15" s="46">
        <v>58</v>
      </c>
      <c r="M15" s="61">
        <v>36</v>
      </c>
      <c r="N15" s="12"/>
      <c r="O15" s="46" t="s">
        <v>226</v>
      </c>
      <c r="P15" s="59"/>
      <c r="Q15" s="46"/>
      <c r="R15" s="56" t="s">
        <v>226</v>
      </c>
      <c r="S15" s="46" t="s">
        <v>227</v>
      </c>
      <c r="T15" s="46"/>
    </row>
    <row r="16" spans="1:20" s="8" customFormat="1" ht="37.5" customHeight="1">
      <c r="B16" s="366">
        <v>45698</v>
      </c>
      <c r="C16" s="345">
        <f t="shared" ref="C16:C24" si="1">C15+1</f>
        <v>199</v>
      </c>
      <c r="D16" s="348">
        <f>D15-L15</f>
        <v>448107</v>
      </c>
      <c r="E16" s="342" t="s">
        <v>216</v>
      </c>
      <c r="F16" s="342" t="s">
        <v>217</v>
      </c>
      <c r="G16" s="342" t="s">
        <v>174</v>
      </c>
      <c r="H16" s="342" t="s">
        <v>175</v>
      </c>
      <c r="I16" s="62" t="s">
        <v>215</v>
      </c>
      <c r="J16" s="42">
        <v>45782</v>
      </c>
      <c r="K16" s="63">
        <v>200</v>
      </c>
      <c r="L16" s="345">
        <v>71</v>
      </c>
      <c r="M16" s="346">
        <v>43.5</v>
      </c>
      <c r="N16" s="12"/>
      <c r="O16" s="345" t="s">
        <v>226</v>
      </c>
      <c r="P16" s="345"/>
      <c r="Q16" s="345"/>
      <c r="R16" s="355" t="s">
        <v>226</v>
      </c>
      <c r="S16" s="331" t="s">
        <v>229</v>
      </c>
      <c r="T16" s="342"/>
    </row>
    <row r="17" spans="2:20" s="8" customFormat="1" ht="37.5" customHeight="1">
      <c r="B17" s="367"/>
      <c r="C17" s="343"/>
      <c r="D17" s="349"/>
      <c r="E17" s="344"/>
      <c r="F17" s="344"/>
      <c r="G17" s="344"/>
      <c r="H17" s="344"/>
      <c r="I17" s="64" t="s">
        <v>218</v>
      </c>
      <c r="J17" s="43">
        <v>45788</v>
      </c>
      <c r="K17" s="65">
        <v>2600</v>
      </c>
      <c r="L17" s="343"/>
      <c r="M17" s="347"/>
      <c r="N17" s="12"/>
      <c r="O17" s="343"/>
      <c r="P17" s="343"/>
      <c r="Q17" s="343"/>
      <c r="R17" s="356"/>
      <c r="S17" s="330"/>
      <c r="T17" s="343"/>
    </row>
    <row r="18" spans="2:20" s="8" customFormat="1" ht="54" customHeight="1">
      <c r="B18" s="45">
        <v>45699</v>
      </c>
      <c r="C18" s="46">
        <f>C16+1</f>
        <v>200</v>
      </c>
      <c r="D18" s="77">
        <f>D16-L16</f>
        <v>448036</v>
      </c>
      <c r="E18" s="59" t="s">
        <v>219</v>
      </c>
      <c r="F18" s="59" t="s">
        <v>220</v>
      </c>
      <c r="G18" s="59" t="s">
        <v>174</v>
      </c>
      <c r="H18" s="107"/>
      <c r="I18" s="108"/>
      <c r="J18" s="109"/>
      <c r="K18" s="110"/>
      <c r="L18" s="46">
        <v>83</v>
      </c>
      <c r="M18" s="61">
        <v>51</v>
      </c>
      <c r="N18" s="12"/>
      <c r="O18" s="46" t="s">
        <v>226</v>
      </c>
      <c r="P18" s="59"/>
      <c r="Q18" s="46"/>
      <c r="R18" s="56" t="s">
        <v>226</v>
      </c>
      <c r="S18" s="59" t="s">
        <v>266</v>
      </c>
      <c r="T18" s="59"/>
    </row>
    <row r="19" spans="2:20" s="8" customFormat="1" ht="37.5" customHeight="1">
      <c r="B19" s="45">
        <v>45700</v>
      </c>
      <c r="C19" s="46">
        <f t="shared" si="1"/>
        <v>201</v>
      </c>
      <c r="D19" s="58">
        <f>D18-L18-75949</f>
        <v>372004</v>
      </c>
      <c r="E19" s="59" t="s">
        <v>221</v>
      </c>
      <c r="F19" s="59" t="s">
        <v>222</v>
      </c>
      <c r="G19" s="59" t="s">
        <v>174</v>
      </c>
      <c r="H19" s="59" t="s">
        <v>175</v>
      </c>
      <c r="I19" s="46" t="s">
        <v>218</v>
      </c>
      <c r="J19" s="60">
        <v>45788</v>
      </c>
      <c r="K19" s="58">
        <v>2600</v>
      </c>
      <c r="L19" s="46">
        <v>64</v>
      </c>
      <c r="M19" s="61">
        <v>39</v>
      </c>
      <c r="N19" s="12"/>
      <c r="O19" s="46" t="s">
        <v>226</v>
      </c>
      <c r="P19" s="59"/>
      <c r="Q19" s="46"/>
      <c r="R19" s="56" t="s">
        <v>226</v>
      </c>
      <c r="S19" s="46" t="s">
        <v>227</v>
      </c>
      <c r="T19" s="46"/>
    </row>
    <row r="20" spans="2:20" s="8" customFormat="1" ht="37.5" customHeight="1">
      <c r="B20" s="45">
        <v>45701</v>
      </c>
      <c r="C20" s="47">
        <f t="shared" si="1"/>
        <v>202</v>
      </c>
      <c r="D20" s="67">
        <f>D19-L19</f>
        <v>371940</v>
      </c>
      <c r="E20" s="68" t="s">
        <v>223</v>
      </c>
      <c r="F20" s="68" t="s">
        <v>224</v>
      </c>
      <c r="G20" s="68" t="s">
        <v>179</v>
      </c>
      <c r="H20" s="68" t="s">
        <v>175</v>
      </c>
      <c r="I20" s="47" t="s">
        <v>218</v>
      </c>
      <c r="J20" s="69">
        <v>45788</v>
      </c>
      <c r="K20" s="67">
        <v>2600</v>
      </c>
      <c r="L20" s="47">
        <v>59</v>
      </c>
      <c r="M20" s="70">
        <v>37.5</v>
      </c>
      <c r="N20" s="12"/>
      <c r="O20" s="47" t="s">
        <v>226</v>
      </c>
      <c r="P20" s="47"/>
      <c r="Q20" s="47"/>
      <c r="R20" s="56" t="s">
        <v>226</v>
      </c>
      <c r="S20" s="47" t="s">
        <v>227</v>
      </c>
      <c r="T20" s="47"/>
    </row>
    <row r="21" spans="2:20" s="8" customFormat="1" ht="37.5" customHeight="1">
      <c r="B21" s="45">
        <v>45702</v>
      </c>
      <c r="C21" s="47">
        <f t="shared" si="1"/>
        <v>203</v>
      </c>
      <c r="D21" s="67">
        <f t="shared" ref="D21" si="2">D20-L20</f>
        <v>371881</v>
      </c>
      <c r="E21" s="68" t="s">
        <v>216</v>
      </c>
      <c r="F21" s="68" t="s">
        <v>225</v>
      </c>
      <c r="G21" s="68" t="s">
        <v>174</v>
      </c>
      <c r="H21" s="68" t="s">
        <v>175</v>
      </c>
      <c r="I21" s="47" t="s">
        <v>218</v>
      </c>
      <c r="J21" s="69">
        <v>45788</v>
      </c>
      <c r="K21" s="67">
        <v>3000</v>
      </c>
      <c r="L21" s="47">
        <v>63</v>
      </c>
      <c r="M21" s="70">
        <v>41.5</v>
      </c>
      <c r="N21" s="12"/>
      <c r="O21" s="47" t="s">
        <v>226</v>
      </c>
      <c r="P21" s="47"/>
      <c r="Q21" s="47"/>
      <c r="R21" s="56" t="s">
        <v>226</v>
      </c>
      <c r="S21" s="47" t="s">
        <v>227</v>
      </c>
      <c r="T21" s="47"/>
    </row>
    <row r="22" spans="2:20" s="8" customFormat="1" ht="37.5" customHeight="1">
      <c r="B22" s="45">
        <v>45703</v>
      </c>
      <c r="C22" s="47">
        <f t="shared" si="1"/>
        <v>204</v>
      </c>
      <c r="D22" s="58">
        <v>430607</v>
      </c>
      <c r="E22" s="59" t="s">
        <v>172</v>
      </c>
      <c r="F22" s="59" t="s">
        <v>173</v>
      </c>
      <c r="G22" s="59" t="s">
        <v>174</v>
      </c>
      <c r="H22" s="59" t="s">
        <v>175</v>
      </c>
      <c r="I22" s="46" t="s">
        <v>176</v>
      </c>
      <c r="J22" s="60">
        <v>45753</v>
      </c>
      <c r="K22" s="58">
        <v>3600</v>
      </c>
      <c r="L22" s="46">
        <v>54</v>
      </c>
      <c r="M22" s="61">
        <v>27.5</v>
      </c>
      <c r="N22" s="12"/>
      <c r="O22" s="56" t="s">
        <v>187</v>
      </c>
      <c r="P22" s="53" t="s">
        <v>188</v>
      </c>
      <c r="Q22" s="44" t="s">
        <v>189</v>
      </c>
      <c r="R22" s="71" t="s">
        <v>190</v>
      </c>
      <c r="S22" s="47" t="s">
        <v>227</v>
      </c>
      <c r="T22" s="10"/>
    </row>
    <row r="23" spans="2:20" s="8" customFormat="1" ht="37.5" customHeight="1">
      <c r="B23" s="45">
        <v>45704</v>
      </c>
      <c r="C23" s="47">
        <f t="shared" si="1"/>
        <v>205</v>
      </c>
      <c r="D23" s="73">
        <v>430553</v>
      </c>
      <c r="E23" s="74" t="s">
        <v>177</v>
      </c>
      <c r="F23" s="74" t="s">
        <v>178</v>
      </c>
      <c r="G23" s="74" t="s">
        <v>179</v>
      </c>
      <c r="H23" s="74" t="s">
        <v>175</v>
      </c>
      <c r="I23" s="72" t="s">
        <v>176</v>
      </c>
      <c r="J23" s="41">
        <v>45753</v>
      </c>
      <c r="K23" s="73">
        <v>3600</v>
      </c>
      <c r="L23" s="72">
        <v>28</v>
      </c>
      <c r="M23" s="75">
        <v>14.5</v>
      </c>
      <c r="N23" s="12"/>
      <c r="O23" s="56" t="s">
        <v>187</v>
      </c>
      <c r="P23" s="53" t="s">
        <v>188</v>
      </c>
      <c r="Q23" s="44" t="s">
        <v>189</v>
      </c>
      <c r="R23" s="71" t="s">
        <v>190</v>
      </c>
      <c r="S23" s="47" t="s">
        <v>227</v>
      </c>
      <c r="T23" s="10"/>
    </row>
    <row r="24" spans="2:20" s="8" customFormat="1" ht="30" customHeight="1">
      <c r="B24" s="45">
        <v>45705</v>
      </c>
      <c r="C24" s="47">
        <f t="shared" si="1"/>
        <v>206</v>
      </c>
      <c r="D24" s="58">
        <v>430525</v>
      </c>
      <c r="E24" s="59" t="s">
        <v>180</v>
      </c>
      <c r="F24" s="59" t="s">
        <v>173</v>
      </c>
      <c r="G24" s="59" t="s">
        <v>174</v>
      </c>
      <c r="H24" s="59" t="s">
        <v>175</v>
      </c>
      <c r="I24" s="46" t="s">
        <v>176</v>
      </c>
      <c r="J24" s="60">
        <v>45753</v>
      </c>
      <c r="K24" s="58">
        <v>3600</v>
      </c>
      <c r="L24" s="46">
        <v>32</v>
      </c>
      <c r="M24" s="61">
        <v>16</v>
      </c>
      <c r="N24" s="15"/>
      <c r="O24" s="44" t="s">
        <v>125</v>
      </c>
      <c r="P24" s="53" t="s">
        <v>184</v>
      </c>
      <c r="Q24" s="44" t="s">
        <v>185</v>
      </c>
      <c r="R24" s="56" t="s">
        <v>186</v>
      </c>
      <c r="S24" s="47" t="s">
        <v>227</v>
      </c>
      <c r="T24" s="16"/>
    </row>
    <row r="25" spans="2:20" s="8" customFormat="1" ht="30" customHeight="1">
      <c r="B25" s="336">
        <v>45706</v>
      </c>
      <c r="C25" s="329">
        <f t="shared" ref="C25" si="3">C24+1</f>
        <v>207</v>
      </c>
      <c r="D25" s="338">
        <f t="shared" ref="D25" si="4">D24-L24</f>
        <v>430493</v>
      </c>
      <c r="E25" s="331" t="s">
        <v>181</v>
      </c>
      <c r="F25" s="331" t="s">
        <v>182</v>
      </c>
      <c r="G25" s="331" t="s">
        <v>174</v>
      </c>
      <c r="H25" s="331" t="s">
        <v>175</v>
      </c>
      <c r="I25" s="102" t="s">
        <v>176</v>
      </c>
      <c r="J25" s="101">
        <v>45753</v>
      </c>
      <c r="K25" s="103">
        <v>3440</v>
      </c>
      <c r="L25" s="329">
        <v>59</v>
      </c>
      <c r="M25" s="340">
        <v>31</v>
      </c>
      <c r="N25" s="104"/>
      <c r="O25" s="329" t="s">
        <v>187</v>
      </c>
      <c r="P25" s="331" t="s">
        <v>188</v>
      </c>
      <c r="Q25" s="329" t="s">
        <v>189</v>
      </c>
      <c r="R25" s="331" t="s">
        <v>190</v>
      </c>
      <c r="S25" s="361" t="s">
        <v>227</v>
      </c>
      <c r="T25" s="331"/>
    </row>
    <row r="26" spans="2:20" s="8" customFormat="1" ht="30" customHeight="1">
      <c r="B26" s="337"/>
      <c r="C26" s="330"/>
      <c r="D26" s="339"/>
      <c r="E26" s="335"/>
      <c r="F26" s="335"/>
      <c r="G26" s="335"/>
      <c r="H26" s="335"/>
      <c r="I26" s="66" t="s">
        <v>183</v>
      </c>
      <c r="J26" s="105">
        <v>45758</v>
      </c>
      <c r="K26" s="106">
        <v>160</v>
      </c>
      <c r="L26" s="330"/>
      <c r="M26" s="341"/>
      <c r="N26" s="104"/>
      <c r="O26" s="330"/>
      <c r="P26" s="330"/>
      <c r="Q26" s="330"/>
      <c r="R26" s="335"/>
      <c r="S26" s="362"/>
      <c r="T26" s="335"/>
    </row>
    <row r="27" spans="2:20" s="8" customFormat="1" ht="30" customHeight="1">
      <c r="B27" s="48">
        <v>45707</v>
      </c>
      <c r="C27" s="47">
        <v>208</v>
      </c>
      <c r="D27" s="58">
        <f>D25-L25</f>
        <v>430434</v>
      </c>
      <c r="E27" s="59" t="s">
        <v>180</v>
      </c>
      <c r="F27" s="59" t="s">
        <v>173</v>
      </c>
      <c r="G27" s="59" t="s">
        <v>174</v>
      </c>
      <c r="H27" s="14"/>
      <c r="I27" s="14"/>
      <c r="J27" s="14"/>
      <c r="K27" s="13"/>
      <c r="L27" s="47">
        <v>59</v>
      </c>
      <c r="M27" s="70">
        <v>37.5</v>
      </c>
      <c r="N27" s="15"/>
      <c r="O27" s="16"/>
      <c r="P27" s="16"/>
      <c r="Q27" s="16"/>
      <c r="R27" s="16"/>
      <c r="S27" s="37" t="s">
        <v>168</v>
      </c>
      <c r="T27" s="16"/>
    </row>
    <row r="28" spans="2:20" s="8" customFormat="1" ht="30" customHeight="1">
      <c r="B28" s="48">
        <v>45708</v>
      </c>
      <c r="C28" s="47">
        <v>209</v>
      </c>
      <c r="D28" s="58">
        <f>D27-L27</f>
        <v>430375</v>
      </c>
      <c r="E28" s="59" t="s">
        <v>180</v>
      </c>
      <c r="F28" s="59" t="s">
        <v>173</v>
      </c>
      <c r="G28" s="59" t="s">
        <v>174</v>
      </c>
      <c r="H28" s="14"/>
      <c r="I28" s="14"/>
      <c r="J28" s="14"/>
      <c r="K28" s="13"/>
      <c r="L28" s="47">
        <v>63</v>
      </c>
      <c r="M28" s="70">
        <v>41.5</v>
      </c>
      <c r="N28" s="15"/>
      <c r="O28" s="16"/>
      <c r="P28" s="16"/>
      <c r="Q28" s="16"/>
      <c r="R28" s="16"/>
      <c r="S28" s="38" t="s">
        <v>167</v>
      </c>
      <c r="T28" s="16"/>
    </row>
    <row r="29" spans="2:20" s="8" customFormat="1" ht="30" customHeight="1">
      <c r="B29" s="48">
        <v>45709</v>
      </c>
      <c r="C29" s="13"/>
      <c r="D29" s="13"/>
      <c r="E29" s="59" t="s">
        <v>172</v>
      </c>
      <c r="F29" s="59" t="s">
        <v>173</v>
      </c>
      <c r="G29" s="59" t="s">
        <v>174</v>
      </c>
      <c r="H29" s="14"/>
      <c r="I29" s="14"/>
      <c r="J29" s="14"/>
      <c r="K29" s="13"/>
      <c r="L29" s="46">
        <v>54</v>
      </c>
      <c r="M29" s="61">
        <v>27.5</v>
      </c>
      <c r="N29" s="15"/>
      <c r="O29" s="16"/>
      <c r="P29" s="16"/>
      <c r="Q29" s="16"/>
      <c r="R29" s="16"/>
      <c r="S29" s="38" t="s">
        <v>1</v>
      </c>
      <c r="T29" s="16"/>
    </row>
    <row r="30" spans="2:20" s="8" customFormat="1" ht="30" customHeight="1">
      <c r="B30" s="48">
        <v>45710</v>
      </c>
      <c r="C30" s="13"/>
      <c r="D30" s="13"/>
      <c r="E30" s="74" t="s">
        <v>177</v>
      </c>
      <c r="F30" s="74" t="s">
        <v>178</v>
      </c>
      <c r="G30" s="74" t="s">
        <v>179</v>
      </c>
      <c r="H30" s="14"/>
      <c r="I30" s="14"/>
      <c r="J30" s="14"/>
      <c r="K30" s="13"/>
      <c r="L30" s="72">
        <v>28</v>
      </c>
      <c r="M30" s="75">
        <v>14.5</v>
      </c>
      <c r="N30" s="15"/>
      <c r="O30" s="16"/>
      <c r="P30" s="16"/>
      <c r="Q30" s="16"/>
      <c r="R30" s="16"/>
      <c r="S30" s="38" t="s">
        <v>1</v>
      </c>
      <c r="T30" s="16"/>
    </row>
    <row r="31" spans="2:20" s="8" customFormat="1" ht="34.5" customHeight="1">
      <c r="B31" s="320" t="s">
        <v>105</v>
      </c>
      <c r="C31" s="321"/>
      <c r="D31" s="321"/>
      <c r="E31" s="321"/>
      <c r="F31" s="321"/>
      <c r="G31" s="321"/>
      <c r="H31" s="322"/>
      <c r="I31" s="17" t="s">
        <v>106</v>
      </c>
      <c r="J31" s="18"/>
      <c r="K31" s="223">
        <f>SUM(K7:K30)</f>
        <v>29760</v>
      </c>
      <c r="L31" s="223">
        <f>SUM(L7:L30)</f>
        <v>2843</v>
      </c>
      <c r="M31" s="224">
        <f>SUM(M7:M30)</f>
        <v>505</v>
      </c>
      <c r="N31" s="15"/>
      <c r="O31" s="39" t="s">
        <v>107</v>
      </c>
      <c r="P31" s="19" t="s">
        <v>410</v>
      </c>
      <c r="Q31" s="19" t="s">
        <v>411</v>
      </c>
      <c r="R31" s="323" t="s">
        <v>171</v>
      </c>
      <c r="S31" s="324"/>
      <c r="T31" s="325"/>
    </row>
    <row r="32" spans="2:20" s="8" customFormat="1" ht="34.5" customHeight="1">
      <c r="B32" s="320" t="s">
        <v>109</v>
      </c>
      <c r="C32" s="321"/>
      <c r="D32" s="321"/>
      <c r="E32" s="321"/>
      <c r="F32" s="321"/>
      <c r="G32" s="321"/>
      <c r="H32" s="322"/>
      <c r="I32" s="17" t="s">
        <v>110</v>
      </c>
      <c r="J32" s="18"/>
      <c r="K32" s="363" t="s">
        <v>645</v>
      </c>
      <c r="L32" s="364"/>
      <c r="M32" s="365"/>
      <c r="N32" s="15"/>
      <c r="O32" s="122">
        <v>45707</v>
      </c>
      <c r="P32" s="123">
        <v>0.8</v>
      </c>
      <c r="Q32" s="124">
        <f>(P32*D27)/10000</f>
        <v>34.434719999999999</v>
      </c>
      <c r="R32" s="326"/>
      <c r="S32" s="327"/>
      <c r="T32" s="328"/>
    </row>
    <row r="33" spans="2:16" s="5" customFormat="1"/>
    <row r="34" spans="2:16" ht="30.9" customHeight="1">
      <c r="C34" s="76" t="s">
        <v>256</v>
      </c>
    </row>
    <row r="35" spans="2:16" ht="30.9" customHeight="1">
      <c r="O35" s="39" t="s">
        <v>107</v>
      </c>
      <c r="P35" s="40" t="s">
        <v>169</v>
      </c>
    </row>
    <row r="36" spans="2:16" ht="30.9" customHeight="1">
      <c r="B36" s="357" t="s">
        <v>99</v>
      </c>
      <c r="C36" s="358"/>
      <c r="D36" s="358"/>
      <c r="F36" s="40" t="s">
        <v>254</v>
      </c>
    </row>
    <row r="37" spans="2:16" ht="51" customHeight="1">
      <c r="B37" s="334" t="s">
        <v>86</v>
      </c>
      <c r="C37" s="334"/>
      <c r="D37" s="334"/>
      <c r="F37" s="40" t="s">
        <v>255</v>
      </c>
      <c r="O37" s="323" t="s">
        <v>108</v>
      </c>
      <c r="P37" s="40" t="s">
        <v>170</v>
      </c>
    </row>
    <row r="38" spans="2:16" ht="30.9" customHeight="1">
      <c r="O38" s="354"/>
      <c r="P38" s="40" t="s">
        <v>230</v>
      </c>
    </row>
    <row r="40" spans="2:16" ht="36.9" customHeight="1">
      <c r="B40" s="359" t="s">
        <v>90</v>
      </c>
      <c r="C40" s="40" t="s">
        <v>265</v>
      </c>
      <c r="O40" s="49" t="s">
        <v>100</v>
      </c>
      <c r="P40" s="40" t="s">
        <v>253</v>
      </c>
    </row>
    <row r="41" spans="2:16" ht="18.600000000000001" customHeight="1">
      <c r="B41" s="360"/>
      <c r="C41" s="40" t="s">
        <v>268</v>
      </c>
    </row>
    <row r="42" spans="2:16">
      <c r="B42" s="360"/>
      <c r="C42" s="40" t="s">
        <v>264</v>
      </c>
    </row>
    <row r="43" spans="2:16">
      <c r="B43" s="360"/>
      <c r="C43" s="40" t="s">
        <v>263</v>
      </c>
    </row>
    <row r="44" spans="2:16">
      <c r="B44" s="360"/>
      <c r="C44" s="40" t="s">
        <v>267</v>
      </c>
    </row>
    <row r="45" spans="2:16">
      <c r="B45" s="360"/>
      <c r="C45" s="40" t="s">
        <v>644</v>
      </c>
    </row>
    <row r="48" spans="2:16" ht="19.5" customHeight="1">
      <c r="B48" s="350" t="s">
        <v>85</v>
      </c>
      <c r="C48" s="40" t="s">
        <v>270</v>
      </c>
    </row>
    <row r="49" spans="2:3" ht="19.5" customHeight="1">
      <c r="B49" s="351"/>
      <c r="C49" s="40" t="s">
        <v>269</v>
      </c>
    </row>
    <row r="50" spans="2:3" ht="19.5" customHeight="1">
      <c r="B50" s="351"/>
      <c r="C50" s="40" t="s">
        <v>271</v>
      </c>
    </row>
    <row r="51" spans="2:3" ht="19.5" customHeight="1">
      <c r="B51" s="351"/>
      <c r="C51" s="40" t="s">
        <v>272</v>
      </c>
    </row>
    <row r="53" spans="2:3" ht="0.9" customHeight="1"/>
    <row r="54" spans="2:3" ht="33.9" customHeight="1">
      <c r="B54" s="352" t="s">
        <v>84</v>
      </c>
      <c r="C54" s="40" t="s">
        <v>273</v>
      </c>
    </row>
    <row r="55" spans="2:3" ht="33.9" customHeight="1">
      <c r="B55" s="353"/>
    </row>
  </sheetData>
  <mergeCells count="59">
    <mergeCell ref="B48:B51"/>
    <mergeCell ref="B54:B55"/>
    <mergeCell ref="O37:O38"/>
    <mergeCell ref="S16:S17"/>
    <mergeCell ref="R16:R17"/>
    <mergeCell ref="B36:D36"/>
    <mergeCell ref="B37:D37"/>
    <mergeCell ref="B40:B45"/>
    <mergeCell ref="O16:O17"/>
    <mergeCell ref="P16:P17"/>
    <mergeCell ref="Q16:Q17"/>
    <mergeCell ref="R25:R26"/>
    <mergeCell ref="S25:S26"/>
    <mergeCell ref="K32:M32"/>
    <mergeCell ref="B16:B17"/>
    <mergeCell ref="C16:C17"/>
    <mergeCell ref="D16:D17"/>
    <mergeCell ref="E16:E17"/>
    <mergeCell ref="F16:F17"/>
    <mergeCell ref="G25:G26"/>
    <mergeCell ref="H25:H26"/>
    <mergeCell ref="G16:G17"/>
    <mergeCell ref="L25:L26"/>
    <mergeCell ref="M25:M26"/>
    <mergeCell ref="T16:T17"/>
    <mergeCell ref="H16:H17"/>
    <mergeCell ref="L16:L17"/>
    <mergeCell ref="M16:M17"/>
    <mergeCell ref="B25:B26"/>
    <mergeCell ref="C25:C26"/>
    <mergeCell ref="D25:D26"/>
    <mergeCell ref="E25:E26"/>
    <mergeCell ref="F25:F26"/>
    <mergeCell ref="O5:R5"/>
    <mergeCell ref="S5:S6"/>
    <mergeCell ref="T5:T6"/>
    <mergeCell ref="B31:H31"/>
    <mergeCell ref="R31:T32"/>
    <mergeCell ref="B32:H32"/>
    <mergeCell ref="O25:O26"/>
    <mergeCell ref="P25:P26"/>
    <mergeCell ref="Q25:Q26"/>
    <mergeCell ref="B5:B6"/>
    <mergeCell ref="C5:C6"/>
    <mergeCell ref="D5:D6"/>
    <mergeCell ref="E5:G5"/>
    <mergeCell ref="H5:K5"/>
    <mergeCell ref="L5:M5"/>
    <mergeCell ref="T25:T26"/>
    <mergeCell ref="A1:D3"/>
    <mergeCell ref="E1:J3"/>
    <mergeCell ref="K1:M1"/>
    <mergeCell ref="O1:O3"/>
    <mergeCell ref="P1:R3"/>
    <mergeCell ref="S1:T1"/>
    <mergeCell ref="K2:M2"/>
    <mergeCell ref="S2:T2"/>
    <mergeCell ref="K3:M3"/>
    <mergeCell ref="S3:T3"/>
  </mergeCells>
  <pageMargins left="0.31" right="0.23" top="0.17" bottom="0.2" header="0.16" footer="0.16"/>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7061-1579-474D-9EB0-B4B7146FAF18}">
  <dimension ref="B2:D11"/>
  <sheetViews>
    <sheetView workbookViewId="0">
      <selection activeCell="H8" sqref="H8"/>
    </sheetView>
  </sheetViews>
  <sheetFormatPr defaultRowHeight="16.8"/>
  <cols>
    <col min="2" max="4" width="19.90625" customWidth="1"/>
  </cols>
  <sheetData>
    <row r="2" spans="2:4" ht="29.4" customHeight="1" thickBot="1">
      <c r="B2" s="368" t="s">
        <v>646</v>
      </c>
      <c r="C2" s="368"/>
      <c r="D2" s="368"/>
    </row>
    <row r="3" spans="2:4" ht="17.399999999999999" thickBot="1">
      <c r="B3" s="20" t="s">
        <v>291</v>
      </c>
      <c r="C3" s="21" t="s">
        <v>292</v>
      </c>
      <c r="D3" s="21" t="s">
        <v>293</v>
      </c>
    </row>
    <row r="4" spans="2:4" ht="17.399999999999999" thickBot="1">
      <c r="B4" s="22">
        <v>1</v>
      </c>
      <c r="C4" s="23">
        <v>40</v>
      </c>
      <c r="D4" s="23">
        <v>70</v>
      </c>
    </row>
    <row r="5" spans="2:4" ht="17.399999999999999" thickBot="1">
      <c r="B5" s="22">
        <v>2</v>
      </c>
      <c r="C5" s="23">
        <v>80</v>
      </c>
      <c r="D5" s="23">
        <v>150</v>
      </c>
    </row>
    <row r="6" spans="2:4" ht="17.399999999999999" thickBot="1">
      <c r="B6" s="22">
        <v>3</v>
      </c>
      <c r="C6" s="23">
        <v>100</v>
      </c>
      <c r="D6" s="23">
        <v>250</v>
      </c>
    </row>
    <row r="7" spans="2:4" ht="17.399999999999999" thickBot="1">
      <c r="B7" s="22">
        <v>4</v>
      </c>
      <c r="C7" s="23">
        <v>120</v>
      </c>
      <c r="D7" s="23">
        <v>380</v>
      </c>
    </row>
    <row r="8" spans="2:4" ht="17.399999999999999" thickBot="1">
      <c r="B8" s="22">
        <v>5</v>
      </c>
      <c r="C8" s="23">
        <v>140</v>
      </c>
      <c r="D8" s="23">
        <v>520</v>
      </c>
    </row>
    <row r="9" spans="2:4" ht="17.399999999999999" thickBot="1">
      <c r="B9" s="22">
        <v>6</v>
      </c>
      <c r="C9" s="23">
        <v>150</v>
      </c>
      <c r="D9" s="23">
        <v>670</v>
      </c>
    </row>
    <row r="10" spans="2:4" ht="17.399999999999999" thickBot="1">
      <c r="B10" s="22">
        <v>7</v>
      </c>
      <c r="C10" s="23">
        <v>180</v>
      </c>
      <c r="D10" s="23">
        <v>850</v>
      </c>
    </row>
    <row r="11" spans="2:4" ht="17.399999999999999" thickBot="1">
      <c r="B11" s="22">
        <v>8</v>
      </c>
      <c r="C11" s="23">
        <v>150</v>
      </c>
      <c r="D11" s="23">
        <v>1000</v>
      </c>
    </row>
  </sheetData>
  <mergeCells count="1">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6F9A-311B-46C6-95E5-6723A2077C8C}">
  <sheetPr>
    <tabColor rgb="FFFF66FF"/>
  </sheetPr>
  <dimension ref="B3:H8"/>
  <sheetViews>
    <sheetView zoomScale="85" zoomScaleNormal="85" workbookViewId="0">
      <selection activeCell="E7" sqref="E7"/>
    </sheetView>
  </sheetViews>
  <sheetFormatPr defaultRowHeight="16.8"/>
  <cols>
    <col min="2" max="2" width="11.90625" customWidth="1"/>
    <col min="3" max="3" width="13.36328125" customWidth="1"/>
    <col min="4" max="4" width="30.1796875" customWidth="1"/>
    <col min="5" max="5" width="18.453125" customWidth="1"/>
    <col min="6" max="7" width="19" customWidth="1"/>
    <col min="8" max="8" width="15.453125" customWidth="1"/>
  </cols>
  <sheetData>
    <row r="3" spans="2:8" ht="33.6">
      <c r="B3" s="30" t="s">
        <v>274</v>
      </c>
      <c r="C3" s="30" t="s">
        <v>275</v>
      </c>
      <c r="D3" s="30" t="s">
        <v>0</v>
      </c>
      <c r="E3" s="30" t="s">
        <v>277</v>
      </c>
      <c r="F3" s="30" t="s">
        <v>278</v>
      </c>
      <c r="G3" s="30" t="s">
        <v>279</v>
      </c>
      <c r="H3" s="30" t="s">
        <v>280</v>
      </c>
    </row>
    <row r="4" spans="2:8" ht="57.6" customHeight="1">
      <c r="B4" s="88" t="s">
        <v>92</v>
      </c>
      <c r="C4" s="33" t="s">
        <v>276</v>
      </c>
      <c r="D4" s="25" t="s">
        <v>767</v>
      </c>
      <c r="E4" s="25" t="s">
        <v>759</v>
      </c>
      <c r="F4" s="25" t="s">
        <v>760</v>
      </c>
      <c r="G4" s="25" t="s">
        <v>761</v>
      </c>
      <c r="H4" s="25" t="s">
        <v>762</v>
      </c>
    </row>
    <row r="5" spans="2:8" ht="21.6" customHeight="1">
      <c r="B5" s="11"/>
      <c r="C5" s="79"/>
      <c r="D5" s="28"/>
    </row>
    <row r="6" spans="2:8" ht="36" customHeight="1">
      <c r="B6" s="30" t="s">
        <v>274</v>
      </c>
      <c r="C6" s="30" t="s">
        <v>275</v>
      </c>
      <c r="D6" s="30" t="s">
        <v>0</v>
      </c>
      <c r="E6" s="30" t="s">
        <v>284</v>
      </c>
      <c r="F6" s="30" t="s">
        <v>283</v>
      </c>
      <c r="G6" s="30" t="s">
        <v>285</v>
      </c>
      <c r="H6" s="273" t="s">
        <v>763</v>
      </c>
    </row>
    <row r="7" spans="2:8" ht="58.5" customHeight="1">
      <c r="B7" s="88" t="s">
        <v>473</v>
      </c>
      <c r="C7" s="33" t="s">
        <v>276</v>
      </c>
      <c r="D7" s="25" t="s">
        <v>768</v>
      </c>
      <c r="E7" s="78" t="s">
        <v>764</v>
      </c>
      <c r="F7" s="78" t="s">
        <v>765</v>
      </c>
      <c r="G7" s="78" t="s">
        <v>766</v>
      </c>
    </row>
    <row r="8" spans="2:8" ht="53.4" customHeight="1">
      <c r="B8" s="88" t="s">
        <v>94</v>
      </c>
      <c r="C8" s="33" t="s">
        <v>276</v>
      </c>
      <c r="D8" s="25" t="s">
        <v>282</v>
      </c>
      <c r="E8" s="80" t="s">
        <v>281</v>
      </c>
      <c r="F8" s="80" t="s">
        <v>281</v>
      </c>
      <c r="G8" s="80" t="s">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1BF0-2F08-4A38-A7F8-442BCA6EC6FC}">
  <dimension ref="A1:F45"/>
  <sheetViews>
    <sheetView topLeftCell="A25" zoomScale="82" zoomScaleNormal="82" workbookViewId="0">
      <selection activeCell="E5" sqref="E5"/>
    </sheetView>
  </sheetViews>
  <sheetFormatPr defaultColWidth="7.81640625" defaultRowHeight="13.2"/>
  <cols>
    <col min="1" max="1" width="4.1796875" style="86" customWidth="1"/>
    <col min="2" max="2" width="19.36328125" style="86" customWidth="1"/>
    <col min="3" max="3" width="33.1796875" style="86" customWidth="1"/>
    <col min="4" max="4" width="20" style="86" customWidth="1"/>
    <col min="5" max="6" width="24.36328125" style="86" customWidth="1"/>
    <col min="7" max="246" width="7.81640625" style="86"/>
    <col min="247" max="247" width="4.1796875" style="86" customWidth="1"/>
    <col min="248" max="248" width="19.36328125" style="86" customWidth="1"/>
    <col min="249" max="249" width="17.08984375" style="86" customWidth="1"/>
    <col min="250" max="250" width="19.1796875" style="86" customWidth="1"/>
    <col min="251" max="251" width="12.90625" style="86" customWidth="1"/>
    <col min="252" max="252" width="14.08984375" style="86" customWidth="1"/>
    <col min="253" max="253" width="19.453125" style="86" customWidth="1"/>
    <col min="254" max="502" width="7.81640625" style="86"/>
    <col min="503" max="503" width="4.1796875" style="86" customWidth="1"/>
    <col min="504" max="504" width="19.36328125" style="86" customWidth="1"/>
    <col min="505" max="505" width="17.08984375" style="86" customWidth="1"/>
    <col min="506" max="506" width="19.1796875" style="86" customWidth="1"/>
    <col min="507" max="507" width="12.90625" style="86" customWidth="1"/>
    <col min="508" max="508" width="14.08984375" style="86" customWidth="1"/>
    <col min="509" max="509" width="19.453125" style="86" customWidth="1"/>
    <col min="510" max="758" width="7.81640625" style="86"/>
    <col min="759" max="759" width="4.1796875" style="86" customWidth="1"/>
    <col min="760" max="760" width="19.36328125" style="86" customWidth="1"/>
    <col min="761" max="761" width="17.08984375" style="86" customWidth="1"/>
    <col min="762" max="762" width="19.1796875" style="86" customWidth="1"/>
    <col min="763" max="763" width="12.90625" style="86" customWidth="1"/>
    <col min="764" max="764" width="14.08984375" style="86" customWidth="1"/>
    <col min="765" max="765" width="19.453125" style="86" customWidth="1"/>
    <col min="766" max="1014" width="7.81640625" style="86"/>
    <col min="1015" max="1015" width="4.1796875" style="86" customWidth="1"/>
    <col min="1016" max="1016" width="19.36328125" style="86" customWidth="1"/>
    <col min="1017" max="1017" width="17.08984375" style="86" customWidth="1"/>
    <col min="1018" max="1018" width="19.1796875" style="86" customWidth="1"/>
    <col min="1019" max="1019" width="12.90625" style="86" customWidth="1"/>
    <col min="1020" max="1020" width="14.08984375" style="86" customWidth="1"/>
    <col min="1021" max="1021" width="19.453125" style="86" customWidth="1"/>
    <col min="1022" max="1270" width="7.81640625" style="86"/>
    <col min="1271" max="1271" width="4.1796875" style="86" customWidth="1"/>
    <col min="1272" max="1272" width="19.36328125" style="86" customWidth="1"/>
    <col min="1273" max="1273" width="17.08984375" style="86" customWidth="1"/>
    <col min="1274" max="1274" width="19.1796875" style="86" customWidth="1"/>
    <col min="1275" max="1275" width="12.90625" style="86" customWidth="1"/>
    <col min="1276" max="1276" width="14.08984375" style="86" customWidth="1"/>
    <col min="1277" max="1277" width="19.453125" style="86" customWidth="1"/>
    <col min="1278" max="1526" width="7.81640625" style="86"/>
    <col min="1527" max="1527" width="4.1796875" style="86" customWidth="1"/>
    <col min="1528" max="1528" width="19.36328125" style="86" customWidth="1"/>
    <col min="1529" max="1529" width="17.08984375" style="86" customWidth="1"/>
    <col min="1530" max="1530" width="19.1796875" style="86" customWidth="1"/>
    <col min="1531" max="1531" width="12.90625" style="86" customWidth="1"/>
    <col min="1532" max="1532" width="14.08984375" style="86" customWidth="1"/>
    <col min="1533" max="1533" width="19.453125" style="86" customWidth="1"/>
    <col min="1534" max="1782" width="7.81640625" style="86"/>
    <col min="1783" max="1783" width="4.1796875" style="86" customWidth="1"/>
    <col min="1784" max="1784" width="19.36328125" style="86" customWidth="1"/>
    <col min="1785" max="1785" width="17.08984375" style="86" customWidth="1"/>
    <col min="1786" max="1786" width="19.1796875" style="86" customWidth="1"/>
    <col min="1787" max="1787" width="12.90625" style="86" customWidth="1"/>
    <col min="1788" max="1788" width="14.08984375" style="86" customWidth="1"/>
    <col min="1789" max="1789" width="19.453125" style="86" customWidth="1"/>
    <col min="1790" max="2038" width="7.81640625" style="86"/>
    <col min="2039" max="2039" width="4.1796875" style="86" customWidth="1"/>
    <col min="2040" max="2040" width="19.36328125" style="86" customWidth="1"/>
    <col min="2041" max="2041" width="17.08984375" style="86" customWidth="1"/>
    <col min="2042" max="2042" width="19.1796875" style="86" customWidth="1"/>
    <col min="2043" max="2043" width="12.90625" style="86" customWidth="1"/>
    <col min="2044" max="2044" width="14.08984375" style="86" customWidth="1"/>
    <col min="2045" max="2045" width="19.453125" style="86" customWidth="1"/>
    <col min="2046" max="2294" width="7.81640625" style="86"/>
    <col min="2295" max="2295" width="4.1796875" style="86" customWidth="1"/>
    <col min="2296" max="2296" width="19.36328125" style="86" customWidth="1"/>
    <col min="2297" max="2297" width="17.08984375" style="86" customWidth="1"/>
    <col min="2298" max="2298" width="19.1796875" style="86" customWidth="1"/>
    <col min="2299" max="2299" width="12.90625" style="86" customWidth="1"/>
    <col min="2300" max="2300" width="14.08984375" style="86" customWidth="1"/>
    <col min="2301" max="2301" width="19.453125" style="86" customWidth="1"/>
    <col min="2302" max="2550" width="7.81640625" style="86"/>
    <col min="2551" max="2551" width="4.1796875" style="86" customWidth="1"/>
    <col min="2552" max="2552" width="19.36328125" style="86" customWidth="1"/>
    <col min="2553" max="2553" width="17.08984375" style="86" customWidth="1"/>
    <col min="2554" max="2554" width="19.1796875" style="86" customWidth="1"/>
    <col min="2555" max="2555" width="12.90625" style="86" customWidth="1"/>
    <col min="2556" max="2556" width="14.08984375" style="86" customWidth="1"/>
    <col min="2557" max="2557" width="19.453125" style="86" customWidth="1"/>
    <col min="2558" max="2806" width="7.81640625" style="86"/>
    <col min="2807" max="2807" width="4.1796875" style="86" customWidth="1"/>
    <col min="2808" max="2808" width="19.36328125" style="86" customWidth="1"/>
    <col min="2809" max="2809" width="17.08984375" style="86" customWidth="1"/>
    <col min="2810" max="2810" width="19.1796875" style="86" customWidth="1"/>
    <col min="2811" max="2811" width="12.90625" style="86" customWidth="1"/>
    <col min="2812" max="2812" width="14.08984375" style="86" customWidth="1"/>
    <col min="2813" max="2813" width="19.453125" style="86" customWidth="1"/>
    <col min="2814" max="3062" width="7.81640625" style="86"/>
    <col min="3063" max="3063" width="4.1796875" style="86" customWidth="1"/>
    <col min="3064" max="3064" width="19.36328125" style="86" customWidth="1"/>
    <col min="3065" max="3065" width="17.08984375" style="86" customWidth="1"/>
    <col min="3066" max="3066" width="19.1796875" style="86" customWidth="1"/>
    <col min="3067" max="3067" width="12.90625" style="86" customWidth="1"/>
    <col min="3068" max="3068" width="14.08984375" style="86" customWidth="1"/>
    <col min="3069" max="3069" width="19.453125" style="86" customWidth="1"/>
    <col min="3070" max="3318" width="7.81640625" style="86"/>
    <col min="3319" max="3319" width="4.1796875" style="86" customWidth="1"/>
    <col min="3320" max="3320" width="19.36328125" style="86" customWidth="1"/>
    <col min="3321" max="3321" width="17.08984375" style="86" customWidth="1"/>
    <col min="3322" max="3322" width="19.1796875" style="86" customWidth="1"/>
    <col min="3323" max="3323" width="12.90625" style="86" customWidth="1"/>
    <col min="3324" max="3324" width="14.08984375" style="86" customWidth="1"/>
    <col min="3325" max="3325" width="19.453125" style="86" customWidth="1"/>
    <col min="3326" max="3574" width="7.81640625" style="86"/>
    <col min="3575" max="3575" width="4.1796875" style="86" customWidth="1"/>
    <col min="3576" max="3576" width="19.36328125" style="86" customWidth="1"/>
    <col min="3577" max="3577" width="17.08984375" style="86" customWidth="1"/>
    <col min="3578" max="3578" width="19.1796875" style="86" customWidth="1"/>
    <col min="3579" max="3579" width="12.90625" style="86" customWidth="1"/>
    <col min="3580" max="3580" width="14.08984375" style="86" customWidth="1"/>
    <col min="3581" max="3581" width="19.453125" style="86" customWidth="1"/>
    <col min="3582" max="3830" width="7.81640625" style="86"/>
    <col min="3831" max="3831" width="4.1796875" style="86" customWidth="1"/>
    <col min="3832" max="3832" width="19.36328125" style="86" customWidth="1"/>
    <col min="3833" max="3833" width="17.08984375" style="86" customWidth="1"/>
    <col min="3834" max="3834" width="19.1796875" style="86" customWidth="1"/>
    <col min="3835" max="3835" width="12.90625" style="86" customWidth="1"/>
    <col min="3836" max="3836" width="14.08984375" style="86" customWidth="1"/>
    <col min="3837" max="3837" width="19.453125" style="86" customWidth="1"/>
    <col min="3838" max="4086" width="7.81640625" style="86"/>
    <col min="4087" max="4087" width="4.1796875" style="86" customWidth="1"/>
    <col min="4088" max="4088" width="19.36328125" style="86" customWidth="1"/>
    <col min="4089" max="4089" width="17.08984375" style="86" customWidth="1"/>
    <col min="4090" max="4090" width="19.1796875" style="86" customWidth="1"/>
    <col min="4091" max="4091" width="12.90625" style="86" customWidth="1"/>
    <col min="4092" max="4092" width="14.08984375" style="86" customWidth="1"/>
    <col min="4093" max="4093" width="19.453125" style="86" customWidth="1"/>
    <col min="4094" max="4342" width="7.81640625" style="86"/>
    <col min="4343" max="4343" width="4.1796875" style="86" customWidth="1"/>
    <col min="4344" max="4344" width="19.36328125" style="86" customWidth="1"/>
    <col min="4345" max="4345" width="17.08984375" style="86" customWidth="1"/>
    <col min="4346" max="4346" width="19.1796875" style="86" customWidth="1"/>
    <col min="4347" max="4347" width="12.90625" style="86" customWidth="1"/>
    <col min="4348" max="4348" width="14.08984375" style="86" customWidth="1"/>
    <col min="4349" max="4349" width="19.453125" style="86" customWidth="1"/>
    <col min="4350" max="4598" width="7.81640625" style="86"/>
    <col min="4599" max="4599" width="4.1796875" style="86" customWidth="1"/>
    <col min="4600" max="4600" width="19.36328125" style="86" customWidth="1"/>
    <col min="4601" max="4601" width="17.08984375" style="86" customWidth="1"/>
    <col min="4602" max="4602" width="19.1796875" style="86" customWidth="1"/>
    <col min="4603" max="4603" width="12.90625" style="86" customWidth="1"/>
    <col min="4604" max="4604" width="14.08984375" style="86" customWidth="1"/>
    <col min="4605" max="4605" width="19.453125" style="86" customWidth="1"/>
    <col min="4606" max="4854" width="7.81640625" style="86"/>
    <col min="4855" max="4855" width="4.1796875" style="86" customWidth="1"/>
    <col min="4856" max="4856" width="19.36328125" style="86" customWidth="1"/>
    <col min="4857" max="4857" width="17.08984375" style="86" customWidth="1"/>
    <col min="4858" max="4858" width="19.1796875" style="86" customWidth="1"/>
    <col min="4859" max="4859" width="12.90625" style="86" customWidth="1"/>
    <col min="4860" max="4860" width="14.08984375" style="86" customWidth="1"/>
    <col min="4861" max="4861" width="19.453125" style="86" customWidth="1"/>
    <col min="4862" max="5110" width="7.81640625" style="86"/>
    <col min="5111" max="5111" width="4.1796875" style="86" customWidth="1"/>
    <col min="5112" max="5112" width="19.36328125" style="86" customWidth="1"/>
    <col min="5113" max="5113" width="17.08984375" style="86" customWidth="1"/>
    <col min="5114" max="5114" width="19.1796875" style="86" customWidth="1"/>
    <col min="5115" max="5115" width="12.90625" style="86" customWidth="1"/>
    <col min="5116" max="5116" width="14.08984375" style="86" customWidth="1"/>
    <col min="5117" max="5117" width="19.453125" style="86" customWidth="1"/>
    <col min="5118" max="5366" width="7.81640625" style="86"/>
    <col min="5367" max="5367" width="4.1796875" style="86" customWidth="1"/>
    <col min="5368" max="5368" width="19.36328125" style="86" customWidth="1"/>
    <col min="5369" max="5369" width="17.08984375" style="86" customWidth="1"/>
    <col min="5370" max="5370" width="19.1796875" style="86" customWidth="1"/>
    <col min="5371" max="5371" width="12.90625" style="86" customWidth="1"/>
    <col min="5372" max="5372" width="14.08984375" style="86" customWidth="1"/>
    <col min="5373" max="5373" width="19.453125" style="86" customWidth="1"/>
    <col min="5374" max="5622" width="7.81640625" style="86"/>
    <col min="5623" max="5623" width="4.1796875" style="86" customWidth="1"/>
    <col min="5624" max="5624" width="19.36328125" style="86" customWidth="1"/>
    <col min="5625" max="5625" width="17.08984375" style="86" customWidth="1"/>
    <col min="5626" max="5626" width="19.1796875" style="86" customWidth="1"/>
    <col min="5627" max="5627" width="12.90625" style="86" customWidth="1"/>
    <col min="5628" max="5628" width="14.08984375" style="86" customWidth="1"/>
    <col min="5629" max="5629" width="19.453125" style="86" customWidth="1"/>
    <col min="5630" max="5878" width="7.81640625" style="86"/>
    <col min="5879" max="5879" width="4.1796875" style="86" customWidth="1"/>
    <col min="5880" max="5880" width="19.36328125" style="86" customWidth="1"/>
    <col min="5881" max="5881" width="17.08984375" style="86" customWidth="1"/>
    <col min="5882" max="5882" width="19.1796875" style="86" customWidth="1"/>
    <col min="5883" max="5883" width="12.90625" style="86" customWidth="1"/>
    <col min="5884" max="5884" width="14.08984375" style="86" customWidth="1"/>
    <col min="5885" max="5885" width="19.453125" style="86" customWidth="1"/>
    <col min="5886" max="6134" width="7.81640625" style="86"/>
    <col min="6135" max="6135" width="4.1796875" style="86" customWidth="1"/>
    <col min="6136" max="6136" width="19.36328125" style="86" customWidth="1"/>
    <col min="6137" max="6137" width="17.08984375" style="86" customWidth="1"/>
    <col min="6138" max="6138" width="19.1796875" style="86" customWidth="1"/>
    <col min="6139" max="6139" width="12.90625" style="86" customWidth="1"/>
    <col min="6140" max="6140" width="14.08984375" style="86" customWidth="1"/>
    <col min="6141" max="6141" width="19.453125" style="86" customWidth="1"/>
    <col min="6142" max="6390" width="7.81640625" style="86"/>
    <col min="6391" max="6391" width="4.1796875" style="86" customWidth="1"/>
    <col min="6392" max="6392" width="19.36328125" style="86" customWidth="1"/>
    <col min="6393" max="6393" width="17.08984375" style="86" customWidth="1"/>
    <col min="6394" max="6394" width="19.1796875" style="86" customWidth="1"/>
    <col min="6395" max="6395" width="12.90625" style="86" customWidth="1"/>
    <col min="6396" max="6396" width="14.08984375" style="86" customWidth="1"/>
    <col min="6397" max="6397" width="19.453125" style="86" customWidth="1"/>
    <col min="6398" max="6646" width="7.81640625" style="86"/>
    <col min="6647" max="6647" width="4.1796875" style="86" customWidth="1"/>
    <col min="6648" max="6648" width="19.36328125" style="86" customWidth="1"/>
    <col min="6649" max="6649" width="17.08984375" style="86" customWidth="1"/>
    <col min="6650" max="6650" width="19.1796875" style="86" customWidth="1"/>
    <col min="6651" max="6651" width="12.90625" style="86" customWidth="1"/>
    <col min="6652" max="6652" width="14.08984375" style="86" customWidth="1"/>
    <col min="6653" max="6653" width="19.453125" style="86" customWidth="1"/>
    <col min="6654" max="6902" width="7.81640625" style="86"/>
    <col min="6903" max="6903" width="4.1796875" style="86" customWidth="1"/>
    <col min="6904" max="6904" width="19.36328125" style="86" customWidth="1"/>
    <col min="6905" max="6905" width="17.08984375" style="86" customWidth="1"/>
    <col min="6906" max="6906" width="19.1796875" style="86" customWidth="1"/>
    <col min="6907" max="6907" width="12.90625" style="86" customWidth="1"/>
    <col min="6908" max="6908" width="14.08984375" style="86" customWidth="1"/>
    <col min="6909" max="6909" width="19.453125" style="86" customWidth="1"/>
    <col min="6910" max="7158" width="7.81640625" style="86"/>
    <col min="7159" max="7159" width="4.1796875" style="86" customWidth="1"/>
    <col min="7160" max="7160" width="19.36328125" style="86" customWidth="1"/>
    <col min="7161" max="7161" width="17.08984375" style="86" customWidth="1"/>
    <col min="7162" max="7162" width="19.1796875" style="86" customWidth="1"/>
    <col min="7163" max="7163" width="12.90625" style="86" customWidth="1"/>
    <col min="7164" max="7164" width="14.08984375" style="86" customWidth="1"/>
    <col min="7165" max="7165" width="19.453125" style="86" customWidth="1"/>
    <col min="7166" max="7414" width="7.81640625" style="86"/>
    <col min="7415" max="7415" width="4.1796875" style="86" customWidth="1"/>
    <col min="7416" max="7416" width="19.36328125" style="86" customWidth="1"/>
    <col min="7417" max="7417" width="17.08984375" style="86" customWidth="1"/>
    <col min="7418" max="7418" width="19.1796875" style="86" customWidth="1"/>
    <col min="7419" max="7419" width="12.90625" style="86" customWidth="1"/>
    <col min="7420" max="7420" width="14.08984375" style="86" customWidth="1"/>
    <col min="7421" max="7421" width="19.453125" style="86" customWidth="1"/>
    <col min="7422" max="7670" width="7.81640625" style="86"/>
    <col min="7671" max="7671" width="4.1796875" style="86" customWidth="1"/>
    <col min="7672" max="7672" width="19.36328125" style="86" customWidth="1"/>
    <col min="7673" max="7673" width="17.08984375" style="86" customWidth="1"/>
    <col min="7674" max="7674" width="19.1796875" style="86" customWidth="1"/>
    <col min="7675" max="7675" width="12.90625" style="86" customWidth="1"/>
    <col min="7676" max="7676" width="14.08984375" style="86" customWidth="1"/>
    <col min="7677" max="7677" width="19.453125" style="86" customWidth="1"/>
    <col min="7678" max="7926" width="7.81640625" style="86"/>
    <col min="7927" max="7927" width="4.1796875" style="86" customWidth="1"/>
    <col min="7928" max="7928" width="19.36328125" style="86" customWidth="1"/>
    <col min="7929" max="7929" width="17.08984375" style="86" customWidth="1"/>
    <col min="7930" max="7930" width="19.1796875" style="86" customWidth="1"/>
    <col min="7931" max="7931" width="12.90625" style="86" customWidth="1"/>
    <col min="7932" max="7932" width="14.08984375" style="86" customWidth="1"/>
    <col min="7933" max="7933" width="19.453125" style="86" customWidth="1"/>
    <col min="7934" max="8182" width="7.81640625" style="86"/>
    <col min="8183" max="8183" width="4.1796875" style="86" customWidth="1"/>
    <col min="8184" max="8184" width="19.36328125" style="86" customWidth="1"/>
    <col min="8185" max="8185" width="17.08984375" style="86" customWidth="1"/>
    <col min="8186" max="8186" width="19.1796875" style="86" customWidth="1"/>
    <col min="8187" max="8187" width="12.90625" style="86" customWidth="1"/>
    <col min="8188" max="8188" width="14.08984375" style="86" customWidth="1"/>
    <col min="8189" max="8189" width="19.453125" style="86" customWidth="1"/>
    <col min="8190" max="8438" width="7.81640625" style="86"/>
    <col min="8439" max="8439" width="4.1796875" style="86" customWidth="1"/>
    <col min="8440" max="8440" width="19.36328125" style="86" customWidth="1"/>
    <col min="8441" max="8441" width="17.08984375" style="86" customWidth="1"/>
    <col min="8442" max="8442" width="19.1796875" style="86" customWidth="1"/>
    <col min="8443" max="8443" width="12.90625" style="86" customWidth="1"/>
    <col min="8444" max="8444" width="14.08984375" style="86" customWidth="1"/>
    <col min="8445" max="8445" width="19.453125" style="86" customWidth="1"/>
    <col min="8446" max="8694" width="7.81640625" style="86"/>
    <col min="8695" max="8695" width="4.1796875" style="86" customWidth="1"/>
    <col min="8696" max="8696" width="19.36328125" style="86" customWidth="1"/>
    <col min="8697" max="8697" width="17.08984375" style="86" customWidth="1"/>
    <col min="8698" max="8698" width="19.1796875" style="86" customWidth="1"/>
    <col min="8699" max="8699" width="12.90625" style="86" customWidth="1"/>
    <col min="8700" max="8700" width="14.08984375" style="86" customWidth="1"/>
    <col min="8701" max="8701" width="19.453125" style="86" customWidth="1"/>
    <col min="8702" max="8950" width="7.81640625" style="86"/>
    <col min="8951" max="8951" width="4.1796875" style="86" customWidth="1"/>
    <col min="8952" max="8952" width="19.36328125" style="86" customWidth="1"/>
    <col min="8953" max="8953" width="17.08984375" style="86" customWidth="1"/>
    <col min="8954" max="8954" width="19.1796875" style="86" customWidth="1"/>
    <col min="8955" max="8955" width="12.90625" style="86" customWidth="1"/>
    <col min="8956" max="8956" width="14.08984375" style="86" customWidth="1"/>
    <col min="8957" max="8957" width="19.453125" style="86" customWidth="1"/>
    <col min="8958" max="9206" width="7.81640625" style="86"/>
    <col min="9207" max="9207" width="4.1796875" style="86" customWidth="1"/>
    <col min="9208" max="9208" width="19.36328125" style="86" customWidth="1"/>
    <col min="9209" max="9209" width="17.08984375" style="86" customWidth="1"/>
    <col min="9210" max="9210" width="19.1796875" style="86" customWidth="1"/>
    <col min="9211" max="9211" width="12.90625" style="86" customWidth="1"/>
    <col min="9212" max="9212" width="14.08984375" style="86" customWidth="1"/>
    <col min="9213" max="9213" width="19.453125" style="86" customWidth="1"/>
    <col min="9214" max="9462" width="7.81640625" style="86"/>
    <col min="9463" max="9463" width="4.1796875" style="86" customWidth="1"/>
    <col min="9464" max="9464" width="19.36328125" style="86" customWidth="1"/>
    <col min="9465" max="9465" width="17.08984375" style="86" customWidth="1"/>
    <col min="9466" max="9466" width="19.1796875" style="86" customWidth="1"/>
    <col min="9467" max="9467" width="12.90625" style="86" customWidth="1"/>
    <col min="9468" max="9468" width="14.08984375" style="86" customWidth="1"/>
    <col min="9469" max="9469" width="19.453125" style="86" customWidth="1"/>
    <col min="9470" max="9718" width="7.81640625" style="86"/>
    <col min="9719" max="9719" width="4.1796875" style="86" customWidth="1"/>
    <col min="9720" max="9720" width="19.36328125" style="86" customWidth="1"/>
    <col min="9721" max="9721" width="17.08984375" style="86" customWidth="1"/>
    <col min="9722" max="9722" width="19.1796875" style="86" customWidth="1"/>
    <col min="9723" max="9723" width="12.90625" style="86" customWidth="1"/>
    <col min="9724" max="9724" width="14.08984375" style="86" customWidth="1"/>
    <col min="9725" max="9725" width="19.453125" style="86" customWidth="1"/>
    <col min="9726" max="9974" width="7.81640625" style="86"/>
    <col min="9975" max="9975" width="4.1796875" style="86" customWidth="1"/>
    <col min="9976" max="9976" width="19.36328125" style="86" customWidth="1"/>
    <col min="9977" max="9977" width="17.08984375" style="86" customWidth="1"/>
    <col min="9978" max="9978" width="19.1796875" style="86" customWidth="1"/>
    <col min="9979" max="9979" width="12.90625" style="86" customWidth="1"/>
    <col min="9980" max="9980" width="14.08984375" style="86" customWidth="1"/>
    <col min="9981" max="9981" width="19.453125" style="86" customWidth="1"/>
    <col min="9982" max="10230" width="7.81640625" style="86"/>
    <col min="10231" max="10231" width="4.1796875" style="86" customWidth="1"/>
    <col min="10232" max="10232" width="19.36328125" style="86" customWidth="1"/>
    <col min="10233" max="10233" width="17.08984375" style="86" customWidth="1"/>
    <col min="10234" max="10234" width="19.1796875" style="86" customWidth="1"/>
    <col min="10235" max="10235" width="12.90625" style="86" customWidth="1"/>
    <col min="10236" max="10236" width="14.08984375" style="86" customWidth="1"/>
    <col min="10237" max="10237" width="19.453125" style="86" customWidth="1"/>
    <col min="10238" max="10486" width="7.81640625" style="86"/>
    <col min="10487" max="10487" width="4.1796875" style="86" customWidth="1"/>
    <col min="10488" max="10488" width="19.36328125" style="86" customWidth="1"/>
    <col min="10489" max="10489" width="17.08984375" style="86" customWidth="1"/>
    <col min="10490" max="10490" width="19.1796875" style="86" customWidth="1"/>
    <col min="10491" max="10491" width="12.90625" style="86" customWidth="1"/>
    <col min="10492" max="10492" width="14.08984375" style="86" customWidth="1"/>
    <col min="10493" max="10493" width="19.453125" style="86" customWidth="1"/>
    <col min="10494" max="10742" width="7.81640625" style="86"/>
    <col min="10743" max="10743" width="4.1796875" style="86" customWidth="1"/>
    <col min="10744" max="10744" width="19.36328125" style="86" customWidth="1"/>
    <col min="10745" max="10745" width="17.08984375" style="86" customWidth="1"/>
    <col min="10746" max="10746" width="19.1796875" style="86" customWidth="1"/>
    <col min="10747" max="10747" width="12.90625" style="86" customWidth="1"/>
    <col min="10748" max="10748" width="14.08984375" style="86" customWidth="1"/>
    <col min="10749" max="10749" width="19.453125" style="86" customWidth="1"/>
    <col min="10750" max="10998" width="7.81640625" style="86"/>
    <col min="10999" max="10999" width="4.1796875" style="86" customWidth="1"/>
    <col min="11000" max="11000" width="19.36328125" style="86" customWidth="1"/>
    <col min="11001" max="11001" width="17.08984375" style="86" customWidth="1"/>
    <col min="11002" max="11002" width="19.1796875" style="86" customWidth="1"/>
    <col min="11003" max="11003" width="12.90625" style="86" customWidth="1"/>
    <col min="11004" max="11004" width="14.08984375" style="86" customWidth="1"/>
    <col min="11005" max="11005" width="19.453125" style="86" customWidth="1"/>
    <col min="11006" max="11254" width="7.81640625" style="86"/>
    <col min="11255" max="11255" width="4.1796875" style="86" customWidth="1"/>
    <col min="11256" max="11256" width="19.36328125" style="86" customWidth="1"/>
    <col min="11257" max="11257" width="17.08984375" style="86" customWidth="1"/>
    <col min="11258" max="11258" width="19.1796875" style="86" customWidth="1"/>
    <col min="11259" max="11259" width="12.90625" style="86" customWidth="1"/>
    <col min="11260" max="11260" width="14.08984375" style="86" customWidth="1"/>
    <col min="11261" max="11261" width="19.453125" style="86" customWidth="1"/>
    <col min="11262" max="11510" width="7.81640625" style="86"/>
    <col min="11511" max="11511" width="4.1796875" style="86" customWidth="1"/>
    <col min="11512" max="11512" width="19.36328125" style="86" customWidth="1"/>
    <col min="11513" max="11513" width="17.08984375" style="86" customWidth="1"/>
    <col min="11514" max="11514" width="19.1796875" style="86" customWidth="1"/>
    <col min="11515" max="11515" width="12.90625" style="86" customWidth="1"/>
    <col min="11516" max="11516" width="14.08984375" style="86" customWidth="1"/>
    <col min="11517" max="11517" width="19.453125" style="86" customWidth="1"/>
    <col min="11518" max="11766" width="7.81640625" style="86"/>
    <col min="11767" max="11767" width="4.1796875" style="86" customWidth="1"/>
    <col min="11768" max="11768" width="19.36328125" style="86" customWidth="1"/>
    <col min="11769" max="11769" width="17.08984375" style="86" customWidth="1"/>
    <col min="11770" max="11770" width="19.1796875" style="86" customWidth="1"/>
    <col min="11771" max="11771" width="12.90625" style="86" customWidth="1"/>
    <col min="11772" max="11772" width="14.08984375" style="86" customWidth="1"/>
    <col min="11773" max="11773" width="19.453125" style="86" customWidth="1"/>
    <col min="11774" max="12022" width="7.81640625" style="86"/>
    <col min="12023" max="12023" width="4.1796875" style="86" customWidth="1"/>
    <col min="12024" max="12024" width="19.36328125" style="86" customWidth="1"/>
    <col min="12025" max="12025" width="17.08984375" style="86" customWidth="1"/>
    <col min="12026" max="12026" width="19.1796875" style="86" customWidth="1"/>
    <col min="12027" max="12027" width="12.90625" style="86" customWidth="1"/>
    <col min="12028" max="12028" width="14.08984375" style="86" customWidth="1"/>
    <col min="12029" max="12029" width="19.453125" style="86" customWidth="1"/>
    <col min="12030" max="12278" width="7.81640625" style="86"/>
    <col min="12279" max="12279" width="4.1796875" style="86" customWidth="1"/>
    <col min="12280" max="12280" width="19.36328125" style="86" customWidth="1"/>
    <col min="12281" max="12281" width="17.08984375" style="86" customWidth="1"/>
    <col min="12282" max="12282" width="19.1796875" style="86" customWidth="1"/>
    <col min="12283" max="12283" width="12.90625" style="86" customWidth="1"/>
    <col min="12284" max="12284" width="14.08984375" style="86" customWidth="1"/>
    <col min="12285" max="12285" width="19.453125" style="86" customWidth="1"/>
    <col min="12286" max="12534" width="7.81640625" style="86"/>
    <col min="12535" max="12535" width="4.1796875" style="86" customWidth="1"/>
    <col min="12536" max="12536" width="19.36328125" style="86" customWidth="1"/>
    <col min="12537" max="12537" width="17.08984375" style="86" customWidth="1"/>
    <col min="12538" max="12538" width="19.1796875" style="86" customWidth="1"/>
    <col min="12539" max="12539" width="12.90625" style="86" customWidth="1"/>
    <col min="12540" max="12540" width="14.08984375" style="86" customWidth="1"/>
    <col min="12541" max="12541" width="19.453125" style="86" customWidth="1"/>
    <col min="12542" max="12790" width="7.81640625" style="86"/>
    <col min="12791" max="12791" width="4.1796875" style="86" customWidth="1"/>
    <col min="12792" max="12792" width="19.36328125" style="86" customWidth="1"/>
    <col min="12793" max="12793" width="17.08984375" style="86" customWidth="1"/>
    <col min="12794" max="12794" width="19.1796875" style="86" customWidth="1"/>
    <col min="12795" max="12795" width="12.90625" style="86" customWidth="1"/>
    <col min="12796" max="12796" width="14.08984375" style="86" customWidth="1"/>
    <col min="12797" max="12797" width="19.453125" style="86" customWidth="1"/>
    <col min="12798" max="13046" width="7.81640625" style="86"/>
    <col min="13047" max="13047" width="4.1796875" style="86" customWidth="1"/>
    <col min="13048" max="13048" width="19.36328125" style="86" customWidth="1"/>
    <col min="13049" max="13049" width="17.08984375" style="86" customWidth="1"/>
    <col min="13050" max="13050" width="19.1796875" style="86" customWidth="1"/>
    <col min="13051" max="13051" width="12.90625" style="86" customWidth="1"/>
    <col min="13052" max="13052" width="14.08984375" style="86" customWidth="1"/>
    <col min="13053" max="13053" width="19.453125" style="86" customWidth="1"/>
    <col min="13054" max="13302" width="7.81640625" style="86"/>
    <col min="13303" max="13303" width="4.1796875" style="86" customWidth="1"/>
    <col min="13304" max="13304" width="19.36328125" style="86" customWidth="1"/>
    <col min="13305" max="13305" width="17.08984375" style="86" customWidth="1"/>
    <col min="13306" max="13306" width="19.1796875" style="86" customWidth="1"/>
    <col min="13307" max="13307" width="12.90625" style="86" customWidth="1"/>
    <col min="13308" max="13308" width="14.08984375" style="86" customWidth="1"/>
    <col min="13309" max="13309" width="19.453125" style="86" customWidth="1"/>
    <col min="13310" max="13558" width="7.81640625" style="86"/>
    <col min="13559" max="13559" width="4.1796875" style="86" customWidth="1"/>
    <col min="13560" max="13560" width="19.36328125" style="86" customWidth="1"/>
    <col min="13561" max="13561" width="17.08984375" style="86" customWidth="1"/>
    <col min="13562" max="13562" width="19.1796875" style="86" customWidth="1"/>
    <col min="13563" max="13563" width="12.90625" style="86" customWidth="1"/>
    <col min="13564" max="13564" width="14.08984375" style="86" customWidth="1"/>
    <col min="13565" max="13565" width="19.453125" style="86" customWidth="1"/>
    <col min="13566" max="13814" width="7.81640625" style="86"/>
    <col min="13815" max="13815" width="4.1796875" style="86" customWidth="1"/>
    <col min="13816" max="13816" width="19.36328125" style="86" customWidth="1"/>
    <col min="13817" max="13817" width="17.08984375" style="86" customWidth="1"/>
    <col min="13818" max="13818" width="19.1796875" style="86" customWidth="1"/>
    <col min="13819" max="13819" width="12.90625" style="86" customWidth="1"/>
    <col min="13820" max="13820" width="14.08984375" style="86" customWidth="1"/>
    <col min="13821" max="13821" width="19.453125" style="86" customWidth="1"/>
    <col min="13822" max="14070" width="7.81640625" style="86"/>
    <col min="14071" max="14071" width="4.1796875" style="86" customWidth="1"/>
    <col min="14072" max="14072" width="19.36328125" style="86" customWidth="1"/>
    <col min="14073" max="14073" width="17.08984375" style="86" customWidth="1"/>
    <col min="14074" max="14074" width="19.1796875" style="86" customWidth="1"/>
    <col min="14075" max="14075" width="12.90625" style="86" customWidth="1"/>
    <col min="14076" max="14076" width="14.08984375" style="86" customWidth="1"/>
    <col min="14077" max="14077" width="19.453125" style="86" customWidth="1"/>
    <col min="14078" max="14326" width="7.81640625" style="86"/>
    <col min="14327" max="14327" width="4.1796875" style="86" customWidth="1"/>
    <col min="14328" max="14328" width="19.36328125" style="86" customWidth="1"/>
    <col min="14329" max="14329" width="17.08984375" style="86" customWidth="1"/>
    <col min="14330" max="14330" width="19.1796875" style="86" customWidth="1"/>
    <col min="14331" max="14331" width="12.90625" style="86" customWidth="1"/>
    <col min="14332" max="14332" width="14.08984375" style="86" customWidth="1"/>
    <col min="14333" max="14333" width="19.453125" style="86" customWidth="1"/>
    <col min="14334" max="14582" width="7.81640625" style="86"/>
    <col min="14583" max="14583" width="4.1796875" style="86" customWidth="1"/>
    <col min="14584" max="14584" width="19.36328125" style="86" customWidth="1"/>
    <col min="14585" max="14585" width="17.08984375" style="86" customWidth="1"/>
    <col min="14586" max="14586" width="19.1796875" style="86" customWidth="1"/>
    <col min="14587" max="14587" width="12.90625" style="86" customWidth="1"/>
    <col min="14588" max="14588" width="14.08984375" style="86" customWidth="1"/>
    <col min="14589" max="14589" width="19.453125" style="86" customWidth="1"/>
    <col min="14590" max="14838" width="7.81640625" style="86"/>
    <col min="14839" max="14839" width="4.1796875" style="86" customWidth="1"/>
    <col min="14840" max="14840" width="19.36328125" style="86" customWidth="1"/>
    <col min="14841" max="14841" width="17.08984375" style="86" customWidth="1"/>
    <col min="14842" max="14842" width="19.1796875" style="86" customWidth="1"/>
    <col min="14843" max="14843" width="12.90625" style="86" customWidth="1"/>
    <col min="14844" max="14844" width="14.08984375" style="86" customWidth="1"/>
    <col min="14845" max="14845" width="19.453125" style="86" customWidth="1"/>
    <col min="14846" max="15094" width="7.81640625" style="86"/>
    <col min="15095" max="15095" width="4.1796875" style="86" customWidth="1"/>
    <col min="15096" max="15096" width="19.36328125" style="86" customWidth="1"/>
    <col min="15097" max="15097" width="17.08984375" style="86" customWidth="1"/>
    <col min="15098" max="15098" width="19.1796875" style="86" customWidth="1"/>
    <col min="15099" max="15099" width="12.90625" style="86" customWidth="1"/>
    <col min="15100" max="15100" width="14.08984375" style="86" customWidth="1"/>
    <col min="15101" max="15101" width="19.453125" style="86" customWidth="1"/>
    <col min="15102" max="15350" width="7.81640625" style="86"/>
    <col min="15351" max="15351" width="4.1796875" style="86" customWidth="1"/>
    <col min="15352" max="15352" width="19.36328125" style="86" customWidth="1"/>
    <col min="15353" max="15353" width="17.08984375" style="86" customWidth="1"/>
    <col min="15354" max="15354" width="19.1796875" style="86" customWidth="1"/>
    <col min="15355" max="15355" width="12.90625" style="86" customWidth="1"/>
    <col min="15356" max="15356" width="14.08984375" style="86" customWidth="1"/>
    <col min="15357" max="15357" width="19.453125" style="86" customWidth="1"/>
    <col min="15358" max="15606" width="7.81640625" style="86"/>
    <col min="15607" max="15607" width="4.1796875" style="86" customWidth="1"/>
    <col min="15608" max="15608" width="19.36328125" style="86" customWidth="1"/>
    <col min="15609" max="15609" width="17.08984375" style="86" customWidth="1"/>
    <col min="15610" max="15610" width="19.1796875" style="86" customWidth="1"/>
    <col min="15611" max="15611" width="12.90625" style="86" customWidth="1"/>
    <col min="15612" max="15612" width="14.08984375" style="86" customWidth="1"/>
    <col min="15613" max="15613" width="19.453125" style="86" customWidth="1"/>
    <col min="15614" max="15862" width="7.81640625" style="86"/>
    <col min="15863" max="15863" width="4.1796875" style="86" customWidth="1"/>
    <col min="15864" max="15864" width="19.36328125" style="86" customWidth="1"/>
    <col min="15865" max="15865" width="17.08984375" style="86" customWidth="1"/>
    <col min="15866" max="15866" width="19.1796875" style="86" customWidth="1"/>
    <col min="15867" max="15867" width="12.90625" style="86" customWidth="1"/>
    <col min="15868" max="15868" width="14.08984375" style="86" customWidth="1"/>
    <col min="15869" max="15869" width="19.453125" style="86" customWidth="1"/>
    <col min="15870" max="16118" width="7.81640625" style="86"/>
    <col min="16119" max="16119" width="4.1796875" style="86" customWidth="1"/>
    <col min="16120" max="16120" width="19.36328125" style="86" customWidth="1"/>
    <col min="16121" max="16121" width="17.08984375" style="86" customWidth="1"/>
    <col min="16122" max="16122" width="19.1796875" style="86" customWidth="1"/>
    <col min="16123" max="16123" width="12.90625" style="86" customWidth="1"/>
    <col min="16124" max="16124" width="14.08984375" style="86" customWidth="1"/>
    <col min="16125" max="16125" width="19.453125" style="86" customWidth="1"/>
    <col min="16126" max="16384" width="7.81640625" style="86"/>
  </cols>
  <sheetData>
    <row r="1" spans="1:6" ht="51" customHeight="1">
      <c r="A1" s="369" t="s">
        <v>310</v>
      </c>
      <c r="B1" s="369"/>
      <c r="C1" s="369"/>
      <c r="D1" s="369"/>
      <c r="E1" s="369"/>
      <c r="F1" s="369"/>
    </row>
    <row r="2" spans="1:6" s="40" customFormat="1" ht="56.4" customHeight="1">
      <c r="A2" s="87" t="s">
        <v>309</v>
      </c>
      <c r="B2" s="87" t="s">
        <v>311</v>
      </c>
      <c r="C2" s="87" t="s">
        <v>312</v>
      </c>
      <c r="D2" s="87" t="s">
        <v>313</v>
      </c>
      <c r="E2" s="87" t="s">
        <v>314</v>
      </c>
      <c r="F2" s="87" t="s">
        <v>630</v>
      </c>
    </row>
    <row r="3" spans="1:6" s="40" customFormat="1" ht="39" customHeight="1">
      <c r="A3" s="88">
        <v>1</v>
      </c>
      <c r="B3" s="89" t="s">
        <v>315</v>
      </c>
      <c r="C3" s="90" t="s">
        <v>316</v>
      </c>
      <c r="D3" s="89" t="s">
        <v>317</v>
      </c>
      <c r="E3" s="89" t="s">
        <v>318</v>
      </c>
      <c r="F3" s="89" t="s">
        <v>632</v>
      </c>
    </row>
    <row r="4" spans="1:6" s="40" customFormat="1" ht="51" customHeight="1">
      <c r="A4" s="88">
        <v>2</v>
      </c>
      <c r="B4" s="91" t="s">
        <v>319</v>
      </c>
      <c r="C4" s="89" t="s">
        <v>320</v>
      </c>
      <c r="D4" s="89" t="s">
        <v>317</v>
      </c>
      <c r="E4" s="89" t="s">
        <v>321</v>
      </c>
      <c r="F4" s="89" t="s">
        <v>632</v>
      </c>
    </row>
    <row r="5" spans="1:6" s="40" customFormat="1" ht="51" customHeight="1">
      <c r="A5" s="88">
        <v>3</v>
      </c>
      <c r="B5" s="89" t="s">
        <v>322</v>
      </c>
      <c r="C5" s="90" t="s">
        <v>323</v>
      </c>
      <c r="D5" s="89" t="s">
        <v>317</v>
      </c>
      <c r="E5" s="89" t="s">
        <v>321</v>
      </c>
      <c r="F5" s="89" t="s">
        <v>632</v>
      </c>
    </row>
    <row r="6" spans="1:6" s="40" customFormat="1" ht="39" customHeight="1">
      <c r="A6" s="88">
        <v>4</v>
      </c>
      <c r="B6" s="89" t="s">
        <v>324</v>
      </c>
      <c r="C6" s="89" t="s">
        <v>325</v>
      </c>
      <c r="D6" s="89" t="s">
        <v>317</v>
      </c>
      <c r="E6" s="89" t="s">
        <v>318</v>
      </c>
      <c r="F6" s="89" t="s">
        <v>631</v>
      </c>
    </row>
    <row r="7" spans="1:6" s="40" customFormat="1" ht="39" customHeight="1">
      <c r="A7" s="88">
        <v>5</v>
      </c>
      <c r="B7" s="89" t="s">
        <v>326</v>
      </c>
      <c r="C7" s="90" t="s">
        <v>327</v>
      </c>
      <c r="D7" s="89" t="s">
        <v>317</v>
      </c>
      <c r="E7" s="89" t="s">
        <v>318</v>
      </c>
      <c r="F7" s="89" t="s">
        <v>631</v>
      </c>
    </row>
    <row r="8" spans="1:6" s="40" customFormat="1" ht="39" customHeight="1">
      <c r="A8" s="88">
        <v>6</v>
      </c>
      <c r="B8" s="89" t="s">
        <v>328</v>
      </c>
      <c r="C8" s="90" t="s">
        <v>323</v>
      </c>
      <c r="D8" s="89" t="s">
        <v>317</v>
      </c>
      <c r="E8" s="89" t="s">
        <v>318</v>
      </c>
      <c r="F8" s="89" t="s">
        <v>632</v>
      </c>
    </row>
    <row r="9" spans="1:6" s="40" customFormat="1" ht="39" customHeight="1">
      <c r="A9" s="88">
        <v>7</v>
      </c>
      <c r="B9" s="89" t="s">
        <v>329</v>
      </c>
      <c r="C9" s="89" t="s">
        <v>330</v>
      </c>
      <c r="D9" s="89" t="s">
        <v>317</v>
      </c>
      <c r="E9" s="89" t="s">
        <v>331</v>
      </c>
      <c r="F9" s="89" t="s">
        <v>631</v>
      </c>
    </row>
    <row r="10" spans="1:6" s="93" customFormat="1" ht="39" customHeight="1">
      <c r="A10" s="88">
        <v>8</v>
      </c>
      <c r="B10" s="92" t="s">
        <v>332</v>
      </c>
      <c r="C10" s="89" t="s">
        <v>333</v>
      </c>
      <c r="D10" s="89" t="s">
        <v>317</v>
      </c>
      <c r="E10" s="90" t="s">
        <v>334</v>
      </c>
      <c r="F10" s="90" t="s">
        <v>631</v>
      </c>
    </row>
    <row r="11" spans="1:6" s="40" customFormat="1" ht="51" customHeight="1">
      <c r="A11" s="88">
        <v>9</v>
      </c>
      <c r="B11" s="89" t="s">
        <v>335</v>
      </c>
      <c r="C11" s="89" t="s">
        <v>336</v>
      </c>
      <c r="D11" s="89" t="s">
        <v>317</v>
      </c>
      <c r="E11" s="89" t="s">
        <v>321</v>
      </c>
      <c r="F11" s="89" t="s">
        <v>632</v>
      </c>
    </row>
    <row r="12" spans="1:6" s="40" customFormat="1" ht="39" customHeight="1">
      <c r="A12" s="88">
        <v>10</v>
      </c>
      <c r="B12" s="89" t="s">
        <v>337</v>
      </c>
      <c r="C12" s="89" t="s">
        <v>338</v>
      </c>
      <c r="D12" s="89" t="s">
        <v>317</v>
      </c>
      <c r="E12" s="91" t="s">
        <v>331</v>
      </c>
      <c r="F12" s="91" t="s">
        <v>632</v>
      </c>
    </row>
    <row r="13" spans="1:6" s="94" customFormat="1" ht="39" customHeight="1">
      <c r="A13" s="88">
        <v>11</v>
      </c>
      <c r="B13" s="91" t="s">
        <v>339</v>
      </c>
      <c r="C13" s="89" t="s">
        <v>320</v>
      </c>
      <c r="D13" s="89" t="s">
        <v>317</v>
      </c>
      <c r="E13" s="89" t="s">
        <v>340</v>
      </c>
      <c r="F13" s="89" t="s">
        <v>632</v>
      </c>
    </row>
    <row r="14" spans="1:6" s="94" customFormat="1" ht="51" customHeight="1">
      <c r="A14" s="88">
        <v>12</v>
      </c>
      <c r="B14" s="91" t="s">
        <v>341</v>
      </c>
      <c r="C14" s="89" t="s">
        <v>342</v>
      </c>
      <c r="D14" s="89" t="s">
        <v>317</v>
      </c>
      <c r="E14" s="89" t="s">
        <v>321</v>
      </c>
      <c r="F14" s="89" t="s">
        <v>634</v>
      </c>
    </row>
    <row r="15" spans="1:6" s="94" customFormat="1" ht="39" customHeight="1">
      <c r="A15" s="88">
        <v>13</v>
      </c>
      <c r="B15" s="91" t="s">
        <v>343</v>
      </c>
      <c r="C15" s="89" t="s">
        <v>344</v>
      </c>
      <c r="D15" s="89" t="s">
        <v>317</v>
      </c>
      <c r="E15" s="89" t="s">
        <v>331</v>
      </c>
      <c r="F15" s="89" t="s">
        <v>638</v>
      </c>
    </row>
    <row r="16" spans="1:6" s="94" customFormat="1" ht="39" customHeight="1">
      <c r="A16" s="88">
        <v>14</v>
      </c>
      <c r="B16" s="91" t="s">
        <v>345</v>
      </c>
      <c r="C16" s="89" t="s">
        <v>346</v>
      </c>
      <c r="D16" s="89" t="s">
        <v>317</v>
      </c>
      <c r="E16" s="89" t="s">
        <v>639</v>
      </c>
      <c r="F16" s="89" t="s">
        <v>632</v>
      </c>
    </row>
    <row r="17" spans="1:6" s="94" customFormat="1" ht="39" customHeight="1">
      <c r="A17" s="88">
        <v>15</v>
      </c>
      <c r="B17" s="89" t="s">
        <v>347</v>
      </c>
      <c r="C17" s="89" t="s">
        <v>348</v>
      </c>
      <c r="D17" s="89" t="s">
        <v>317</v>
      </c>
      <c r="E17" s="89" t="s">
        <v>318</v>
      </c>
      <c r="F17" s="89" t="s">
        <v>632</v>
      </c>
    </row>
    <row r="18" spans="1:6" s="94" customFormat="1" ht="39" customHeight="1">
      <c r="A18" s="88">
        <v>16</v>
      </c>
      <c r="B18" s="91" t="s">
        <v>349</v>
      </c>
      <c r="C18" s="95" t="s">
        <v>350</v>
      </c>
      <c r="D18" s="89" t="s">
        <v>317</v>
      </c>
      <c r="E18" s="89" t="s">
        <v>639</v>
      </c>
      <c r="F18" s="89" t="s">
        <v>632</v>
      </c>
    </row>
    <row r="19" spans="1:6" s="94" customFormat="1" ht="39" customHeight="1">
      <c r="A19" s="88">
        <v>17</v>
      </c>
      <c r="B19" s="91" t="s">
        <v>352</v>
      </c>
      <c r="C19" s="89" t="s">
        <v>353</v>
      </c>
      <c r="D19" s="89" t="s">
        <v>317</v>
      </c>
      <c r="E19" s="89" t="s">
        <v>351</v>
      </c>
      <c r="F19" s="89" t="s">
        <v>641</v>
      </c>
    </row>
    <row r="20" spans="1:6" ht="39" customHeight="1">
      <c r="A20" s="88">
        <v>18</v>
      </c>
      <c r="B20" s="96" t="s">
        <v>354</v>
      </c>
      <c r="C20" s="89" t="s">
        <v>336</v>
      </c>
      <c r="D20" s="89" t="s">
        <v>317</v>
      </c>
      <c r="E20" s="89" t="s">
        <v>355</v>
      </c>
      <c r="F20" s="89" t="s">
        <v>632</v>
      </c>
    </row>
    <row r="21" spans="1:6" ht="39" customHeight="1">
      <c r="A21" s="88">
        <v>19</v>
      </c>
      <c r="B21" s="95" t="s">
        <v>356</v>
      </c>
      <c r="C21" s="95" t="s">
        <v>350</v>
      </c>
      <c r="D21" s="89" t="s">
        <v>317</v>
      </c>
      <c r="E21" s="95" t="s">
        <v>334</v>
      </c>
      <c r="F21" s="89" t="s">
        <v>632</v>
      </c>
    </row>
    <row r="22" spans="1:6" s="40" customFormat="1" ht="39" customHeight="1">
      <c r="A22" s="88">
        <v>20</v>
      </c>
      <c r="B22" s="96" t="s">
        <v>357</v>
      </c>
      <c r="C22" s="95" t="s">
        <v>350</v>
      </c>
      <c r="D22" s="89" t="s">
        <v>317</v>
      </c>
      <c r="E22" s="89" t="s">
        <v>331</v>
      </c>
      <c r="F22" s="89" t="s">
        <v>632</v>
      </c>
    </row>
    <row r="23" spans="1:6" s="40" customFormat="1" ht="39" customHeight="1">
      <c r="A23" s="88">
        <v>21</v>
      </c>
      <c r="B23" s="89" t="s">
        <v>358</v>
      </c>
      <c r="C23" s="90" t="s">
        <v>359</v>
      </c>
      <c r="D23" s="89" t="s">
        <v>317</v>
      </c>
      <c r="E23" s="89" t="s">
        <v>360</v>
      </c>
      <c r="F23" s="89" t="s">
        <v>632</v>
      </c>
    </row>
    <row r="24" spans="1:6" s="40" customFormat="1" ht="51" customHeight="1">
      <c r="A24" s="88">
        <v>22</v>
      </c>
      <c r="B24" s="89" t="s">
        <v>361</v>
      </c>
      <c r="C24" s="89" t="s">
        <v>336</v>
      </c>
      <c r="D24" s="89" t="s">
        <v>317</v>
      </c>
      <c r="E24" s="89" t="s">
        <v>321</v>
      </c>
      <c r="F24" s="89" t="s">
        <v>632</v>
      </c>
    </row>
    <row r="25" spans="1:6" ht="39" customHeight="1">
      <c r="A25" s="88">
        <v>23</v>
      </c>
      <c r="B25" s="89" t="s">
        <v>362</v>
      </c>
      <c r="C25" s="90" t="s">
        <v>359</v>
      </c>
      <c r="D25" s="89" t="s">
        <v>317</v>
      </c>
      <c r="E25" s="89" t="s">
        <v>331</v>
      </c>
      <c r="F25" s="89" t="s">
        <v>632</v>
      </c>
    </row>
    <row r="26" spans="1:6" s="40" customFormat="1" ht="39" customHeight="1">
      <c r="A26" s="88">
        <v>24</v>
      </c>
      <c r="B26" s="89" t="s">
        <v>363</v>
      </c>
      <c r="C26" s="89" t="s">
        <v>364</v>
      </c>
      <c r="D26" s="89" t="s">
        <v>133</v>
      </c>
      <c r="E26" s="91" t="s">
        <v>318</v>
      </c>
      <c r="F26" s="89" t="s">
        <v>633</v>
      </c>
    </row>
    <row r="27" spans="1:6" ht="39" customHeight="1">
      <c r="A27" s="88">
        <v>25</v>
      </c>
      <c r="B27" s="89" t="s">
        <v>365</v>
      </c>
      <c r="C27" s="89" t="s">
        <v>366</v>
      </c>
      <c r="D27" s="89" t="s">
        <v>133</v>
      </c>
      <c r="E27" s="91" t="s">
        <v>318</v>
      </c>
      <c r="F27" s="91" t="s">
        <v>631</v>
      </c>
    </row>
    <row r="28" spans="1:6" s="94" customFormat="1" ht="50.1" customHeight="1">
      <c r="A28" s="88">
        <v>26</v>
      </c>
      <c r="B28" s="92" t="s">
        <v>367</v>
      </c>
      <c r="C28" s="90" t="s">
        <v>368</v>
      </c>
      <c r="D28" s="89" t="s">
        <v>133</v>
      </c>
      <c r="E28" s="89" t="s">
        <v>369</v>
      </c>
      <c r="F28" s="89" t="s">
        <v>635</v>
      </c>
    </row>
    <row r="29" spans="1:6" ht="39" customHeight="1">
      <c r="A29" s="88">
        <v>27</v>
      </c>
      <c r="B29" s="95" t="s">
        <v>370</v>
      </c>
      <c r="C29" s="97" t="s">
        <v>371</v>
      </c>
      <c r="D29" s="89" t="s">
        <v>133</v>
      </c>
      <c r="E29" s="95" t="s">
        <v>318</v>
      </c>
      <c r="F29" s="222" t="s">
        <v>640</v>
      </c>
    </row>
    <row r="30" spans="1:6" ht="39" customHeight="1">
      <c r="A30" s="88">
        <v>28</v>
      </c>
      <c r="B30" s="98" t="s">
        <v>372</v>
      </c>
      <c r="C30" s="97" t="s">
        <v>373</v>
      </c>
      <c r="D30" s="89" t="s">
        <v>133</v>
      </c>
      <c r="E30" s="95" t="s">
        <v>351</v>
      </c>
      <c r="F30" s="95" t="s">
        <v>641</v>
      </c>
    </row>
    <row r="31" spans="1:6" ht="39" customHeight="1">
      <c r="A31" s="88">
        <v>29</v>
      </c>
      <c r="B31" s="95" t="s">
        <v>374</v>
      </c>
      <c r="C31" s="95" t="s">
        <v>375</v>
      </c>
      <c r="D31" s="89" t="s">
        <v>133</v>
      </c>
      <c r="E31" s="95" t="s">
        <v>376</v>
      </c>
      <c r="F31" s="95" t="s">
        <v>632</v>
      </c>
    </row>
    <row r="32" spans="1:6" s="94" customFormat="1" ht="73.5" customHeight="1">
      <c r="A32" s="88">
        <v>30</v>
      </c>
      <c r="B32" s="92" t="s">
        <v>377</v>
      </c>
      <c r="C32" s="90" t="s">
        <v>378</v>
      </c>
      <c r="D32" s="89" t="s">
        <v>133</v>
      </c>
      <c r="E32" s="89" t="s">
        <v>318</v>
      </c>
      <c r="F32" s="221" t="s">
        <v>633</v>
      </c>
    </row>
    <row r="33" spans="1:6" s="93" customFormat="1" ht="81" customHeight="1">
      <c r="A33" s="88">
        <v>32</v>
      </c>
      <c r="B33" s="89" t="s">
        <v>379</v>
      </c>
      <c r="C33" s="89" t="s">
        <v>380</v>
      </c>
      <c r="D33" s="89" t="s">
        <v>133</v>
      </c>
      <c r="E33" s="89" t="s">
        <v>381</v>
      </c>
      <c r="F33" s="89" t="s">
        <v>637</v>
      </c>
    </row>
    <row r="34" spans="1:6" s="93" customFormat="1" ht="39" customHeight="1">
      <c r="A34" s="88">
        <v>33</v>
      </c>
      <c r="B34" s="96" t="s">
        <v>382</v>
      </c>
      <c r="C34" s="90" t="s">
        <v>383</v>
      </c>
      <c r="D34" s="89" t="s">
        <v>133</v>
      </c>
      <c r="E34" s="91" t="s">
        <v>331</v>
      </c>
      <c r="F34" s="222" t="s">
        <v>631</v>
      </c>
    </row>
    <row r="35" spans="1:6" s="40" customFormat="1" ht="51" customHeight="1">
      <c r="A35" s="88">
        <v>34</v>
      </c>
      <c r="B35" s="89" t="s">
        <v>384</v>
      </c>
      <c r="C35" s="90" t="s">
        <v>385</v>
      </c>
      <c r="D35" s="89" t="s">
        <v>133</v>
      </c>
      <c r="E35" s="89" t="s">
        <v>321</v>
      </c>
      <c r="F35" s="89" t="s">
        <v>635</v>
      </c>
    </row>
    <row r="36" spans="1:6" s="40" customFormat="1" ht="102" customHeight="1">
      <c r="A36" s="88">
        <v>35</v>
      </c>
      <c r="B36" s="96" t="s">
        <v>386</v>
      </c>
      <c r="C36" s="89" t="s">
        <v>387</v>
      </c>
      <c r="D36" s="89" t="s">
        <v>133</v>
      </c>
      <c r="E36" s="89" t="s">
        <v>388</v>
      </c>
      <c r="F36" s="89" t="s">
        <v>636</v>
      </c>
    </row>
    <row r="37" spans="1:6" s="40" customFormat="1" ht="39" customHeight="1">
      <c r="A37" s="88">
        <v>36</v>
      </c>
      <c r="B37" s="96" t="s">
        <v>389</v>
      </c>
      <c r="C37" s="89" t="s">
        <v>390</v>
      </c>
      <c r="D37" s="89" t="s">
        <v>133</v>
      </c>
      <c r="E37" s="89" t="s">
        <v>388</v>
      </c>
      <c r="F37" s="89" t="s">
        <v>642</v>
      </c>
    </row>
    <row r="38" spans="1:6" s="93" customFormat="1" ht="39" customHeight="1">
      <c r="A38" s="88">
        <v>37</v>
      </c>
      <c r="B38" s="89" t="s">
        <v>391</v>
      </c>
      <c r="C38" s="90" t="s">
        <v>392</v>
      </c>
      <c r="D38" s="89" t="s">
        <v>133</v>
      </c>
      <c r="E38" s="89" t="s">
        <v>318</v>
      </c>
      <c r="F38" s="89" t="s">
        <v>637</v>
      </c>
    </row>
    <row r="39" spans="1:6" s="93" customFormat="1" ht="39" customHeight="1">
      <c r="A39" s="88">
        <v>38</v>
      </c>
      <c r="B39" s="89" t="s">
        <v>393</v>
      </c>
      <c r="C39" s="97" t="s">
        <v>394</v>
      </c>
      <c r="D39" s="89" t="s">
        <v>133</v>
      </c>
      <c r="E39" s="89" t="s">
        <v>395</v>
      </c>
      <c r="F39" s="89" t="s">
        <v>631</v>
      </c>
    </row>
    <row r="40" spans="1:6" s="93" customFormat="1" ht="39" customHeight="1">
      <c r="A40" s="88">
        <v>39</v>
      </c>
      <c r="B40" s="89" t="s">
        <v>396</v>
      </c>
      <c r="C40" s="89" t="s">
        <v>397</v>
      </c>
      <c r="D40" s="89" t="s">
        <v>133</v>
      </c>
      <c r="E40" s="89" t="s">
        <v>639</v>
      </c>
      <c r="F40" s="91" t="s">
        <v>631</v>
      </c>
    </row>
    <row r="41" spans="1:6" s="40" customFormat="1" ht="56.4" customHeight="1">
      <c r="A41" s="88">
        <v>40</v>
      </c>
      <c r="B41" s="89" t="s">
        <v>398</v>
      </c>
      <c r="C41" s="89" t="s">
        <v>399</v>
      </c>
      <c r="D41" s="89" t="s">
        <v>133</v>
      </c>
      <c r="E41" s="89" t="s">
        <v>400</v>
      </c>
      <c r="F41" s="89" t="s">
        <v>632</v>
      </c>
    </row>
    <row r="42" spans="1:6" s="40" customFormat="1" ht="39" customHeight="1">
      <c r="A42" s="88">
        <v>41</v>
      </c>
      <c r="B42" s="96" t="s">
        <v>401</v>
      </c>
      <c r="C42" s="89" t="s">
        <v>402</v>
      </c>
      <c r="D42" s="89" t="s">
        <v>403</v>
      </c>
      <c r="E42" s="89" t="s">
        <v>404</v>
      </c>
      <c r="F42" s="89" t="s">
        <v>633</v>
      </c>
    </row>
    <row r="43" spans="1:6" s="40" customFormat="1" ht="39" customHeight="1">
      <c r="A43" s="88">
        <v>42</v>
      </c>
      <c r="B43" s="96" t="s">
        <v>405</v>
      </c>
      <c r="C43" s="89" t="s">
        <v>353</v>
      </c>
      <c r="D43" s="89" t="s">
        <v>403</v>
      </c>
      <c r="E43" s="89" t="s">
        <v>334</v>
      </c>
      <c r="F43" s="89" t="s">
        <v>641</v>
      </c>
    </row>
    <row r="44" spans="1:6" s="40" customFormat="1" ht="39" customHeight="1">
      <c r="A44" s="88">
        <v>43</v>
      </c>
      <c r="B44" s="96" t="s">
        <v>406</v>
      </c>
      <c r="C44" s="89" t="s">
        <v>353</v>
      </c>
      <c r="D44" s="89" t="s">
        <v>403</v>
      </c>
      <c r="E44" s="89" t="s">
        <v>334</v>
      </c>
      <c r="F44" s="89" t="s">
        <v>632</v>
      </c>
    </row>
    <row r="45" spans="1:6" ht="51" customHeight="1">
      <c r="A45" s="88">
        <v>44</v>
      </c>
      <c r="B45" s="89" t="s">
        <v>407</v>
      </c>
      <c r="C45" s="99" t="s">
        <v>408</v>
      </c>
      <c r="D45" s="89" t="s">
        <v>409</v>
      </c>
      <c r="E45" s="89" t="s">
        <v>321</v>
      </c>
      <c r="F45" s="89" t="s">
        <v>631</v>
      </c>
    </row>
  </sheetData>
  <autoFilter ref="A2:F45" xr:uid="{84A01BF0-2F08-4A38-A7F8-442BCA6EC6FC}"/>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C566-D107-409B-A1D5-340D1BD8019A}">
  <sheetPr>
    <tabColor rgb="FFFF66FF"/>
  </sheetPr>
  <dimension ref="A1:Q36"/>
  <sheetViews>
    <sheetView zoomScaleNormal="100" zoomScalePageLayoutView="98" workbookViewId="0">
      <selection activeCell="B4" sqref="B4"/>
    </sheetView>
  </sheetViews>
  <sheetFormatPr defaultColWidth="7.81640625" defaultRowHeight="13.8"/>
  <cols>
    <col min="1" max="1" width="4" style="282" customWidth="1"/>
    <col min="2" max="2" width="38.90625" style="284" customWidth="1"/>
    <col min="3" max="3" width="16.54296875" style="282" customWidth="1"/>
    <col min="4" max="4" width="31.54296875" style="283" customWidth="1"/>
    <col min="5" max="5" width="12.1796875" style="246" customWidth="1"/>
    <col min="6" max="6" width="7.81640625" style="246"/>
    <col min="7" max="7" width="13.08984375" style="246" bestFit="1" customWidth="1"/>
    <col min="8" max="16384" width="7.81640625" style="246"/>
  </cols>
  <sheetData>
    <row r="1" spans="1:7" ht="68.25" customHeight="1">
      <c r="A1" s="370" t="s">
        <v>776</v>
      </c>
      <c r="B1" s="371"/>
      <c r="C1" s="371"/>
      <c r="D1" s="276"/>
      <c r="E1" s="276"/>
    </row>
    <row r="3" spans="1:7" ht="21.6" customHeight="1">
      <c r="A3" s="277" t="s">
        <v>309</v>
      </c>
      <c r="B3" s="277" t="s">
        <v>777</v>
      </c>
      <c r="C3" s="277" t="s">
        <v>778</v>
      </c>
      <c r="D3" s="246"/>
      <c r="G3" s="125"/>
    </row>
    <row r="4" spans="1:7" ht="19.5" customHeight="1">
      <c r="A4" s="278">
        <v>1</v>
      </c>
      <c r="B4" s="279" t="s">
        <v>779</v>
      </c>
      <c r="C4" s="280" t="s">
        <v>780</v>
      </c>
      <c r="D4" s="246"/>
    </row>
    <row r="5" spans="1:7" ht="19.5" customHeight="1">
      <c r="A5" s="278">
        <v>2</v>
      </c>
      <c r="B5" s="279" t="s">
        <v>781</v>
      </c>
      <c r="C5" s="280" t="s">
        <v>782</v>
      </c>
      <c r="D5" s="246"/>
      <c r="G5" s="125"/>
    </row>
    <row r="6" spans="1:7" ht="19.5" customHeight="1">
      <c r="A6" s="278">
        <v>3</v>
      </c>
      <c r="B6" s="279" t="s">
        <v>783</v>
      </c>
      <c r="C6" s="280" t="s">
        <v>784</v>
      </c>
      <c r="D6" s="246"/>
    </row>
    <row r="7" spans="1:7" ht="19.5" customHeight="1">
      <c r="A7" s="278">
        <v>4</v>
      </c>
      <c r="B7" s="279" t="s">
        <v>785</v>
      </c>
      <c r="C7" s="280" t="s">
        <v>786</v>
      </c>
      <c r="D7" s="246"/>
    </row>
    <row r="8" spans="1:7" ht="19.5" customHeight="1">
      <c r="A8" s="278">
        <v>5</v>
      </c>
      <c r="B8" s="279" t="s">
        <v>787</v>
      </c>
      <c r="C8" s="280" t="s">
        <v>788</v>
      </c>
      <c r="D8" s="246"/>
    </row>
    <row r="9" spans="1:7" ht="19.5" customHeight="1">
      <c r="A9" s="278">
        <v>6</v>
      </c>
      <c r="B9" s="279" t="s">
        <v>779</v>
      </c>
      <c r="C9" s="280" t="s">
        <v>789</v>
      </c>
      <c r="D9" s="246"/>
    </row>
    <row r="10" spans="1:7" ht="19.5" customHeight="1">
      <c r="A10" s="278">
        <v>7</v>
      </c>
      <c r="B10" s="279" t="s">
        <v>781</v>
      </c>
      <c r="C10" s="280" t="s">
        <v>790</v>
      </c>
      <c r="D10" s="246"/>
    </row>
    <row r="11" spans="1:7" ht="19.5" customHeight="1">
      <c r="A11" s="278">
        <v>8</v>
      </c>
      <c r="B11" s="279" t="s">
        <v>783</v>
      </c>
      <c r="C11" s="280" t="s">
        <v>791</v>
      </c>
      <c r="D11" s="246"/>
    </row>
    <row r="12" spans="1:7" ht="19.5" customHeight="1">
      <c r="A12" s="278">
        <v>9</v>
      </c>
      <c r="B12" s="279" t="s">
        <v>785</v>
      </c>
      <c r="C12" s="280" t="s">
        <v>792</v>
      </c>
      <c r="D12" s="246"/>
    </row>
    <row r="13" spans="1:7" ht="19.5" customHeight="1">
      <c r="A13" s="278">
        <v>10</v>
      </c>
      <c r="B13" s="279" t="s">
        <v>787</v>
      </c>
      <c r="C13" s="280" t="s">
        <v>793</v>
      </c>
      <c r="D13" s="246"/>
    </row>
    <row r="14" spans="1:7" ht="19.5" customHeight="1">
      <c r="A14" s="278">
        <v>11</v>
      </c>
      <c r="B14" s="279" t="s">
        <v>794</v>
      </c>
      <c r="C14" s="280" t="s">
        <v>795</v>
      </c>
      <c r="D14" s="246"/>
    </row>
    <row r="15" spans="1:7" ht="19.5" customHeight="1">
      <c r="A15" s="278">
        <v>12</v>
      </c>
      <c r="B15" s="279" t="s">
        <v>796</v>
      </c>
      <c r="C15" s="280" t="s">
        <v>797</v>
      </c>
      <c r="D15" s="246"/>
    </row>
    <row r="16" spans="1:7" ht="19.5" customHeight="1">
      <c r="A16" s="278">
        <v>13</v>
      </c>
      <c r="B16" s="279" t="s">
        <v>798</v>
      </c>
      <c r="C16" s="280" t="s">
        <v>799</v>
      </c>
      <c r="D16" s="246"/>
    </row>
    <row r="17" spans="1:17" ht="19.5" customHeight="1">
      <c r="A17" s="278">
        <v>14</v>
      </c>
      <c r="B17" s="279" t="s">
        <v>800</v>
      </c>
      <c r="C17" s="280" t="s">
        <v>801</v>
      </c>
      <c r="D17" s="246"/>
    </row>
    <row r="18" spans="1:17" ht="19.5" customHeight="1">
      <c r="A18" s="278">
        <v>15</v>
      </c>
      <c r="B18" s="279" t="s">
        <v>802</v>
      </c>
      <c r="C18" s="280" t="s">
        <v>803</v>
      </c>
      <c r="D18" s="246"/>
    </row>
    <row r="19" spans="1:17" ht="19.5" customHeight="1">
      <c r="A19" s="278">
        <v>16</v>
      </c>
      <c r="B19" s="279" t="s">
        <v>779</v>
      </c>
      <c r="C19" s="281" t="s">
        <v>804</v>
      </c>
      <c r="D19" s="246"/>
    </row>
    <row r="20" spans="1:17" ht="19.5" customHeight="1">
      <c r="A20" s="278">
        <v>17</v>
      </c>
      <c r="B20" s="279" t="s">
        <v>781</v>
      </c>
      <c r="C20" s="281" t="s">
        <v>805</v>
      </c>
      <c r="D20" s="246"/>
    </row>
    <row r="21" spans="1:17" ht="19.5" customHeight="1">
      <c r="A21" s="278">
        <v>18</v>
      </c>
      <c r="B21" s="279" t="s">
        <v>783</v>
      </c>
      <c r="C21" s="281" t="s">
        <v>806</v>
      </c>
      <c r="D21" s="246"/>
    </row>
    <row r="22" spans="1:17" ht="19.5" customHeight="1">
      <c r="A22" s="278">
        <v>19</v>
      </c>
      <c r="B22" s="279" t="s">
        <v>785</v>
      </c>
      <c r="C22" s="280" t="s">
        <v>807</v>
      </c>
      <c r="D22" s="246"/>
    </row>
    <row r="23" spans="1:17" ht="19.5" customHeight="1">
      <c r="A23" s="278">
        <v>20</v>
      </c>
      <c r="B23" s="279" t="s">
        <v>787</v>
      </c>
      <c r="C23" s="280" t="s">
        <v>808</v>
      </c>
      <c r="D23" s="246"/>
    </row>
    <row r="24" spans="1:17" ht="19.5" customHeight="1">
      <c r="A24" s="278">
        <v>21</v>
      </c>
      <c r="B24" s="279" t="s">
        <v>779</v>
      </c>
      <c r="C24" s="280" t="s">
        <v>809</v>
      </c>
      <c r="D24" s="246"/>
    </row>
    <row r="25" spans="1:17" ht="19.5" customHeight="1">
      <c r="A25" s="278">
        <v>22</v>
      </c>
      <c r="B25" s="279" t="s">
        <v>781</v>
      </c>
      <c r="C25" s="280" t="s">
        <v>810</v>
      </c>
      <c r="D25" s="246"/>
    </row>
    <row r="26" spans="1:17" ht="19.5" customHeight="1">
      <c r="A26" s="278">
        <v>23</v>
      </c>
      <c r="B26" s="279" t="s">
        <v>783</v>
      </c>
      <c r="C26" s="280" t="s">
        <v>811</v>
      </c>
      <c r="D26" s="246"/>
    </row>
    <row r="27" spans="1:17" ht="19.5" customHeight="1">
      <c r="A27" s="278">
        <v>24</v>
      </c>
      <c r="B27" s="279" t="s">
        <v>785</v>
      </c>
      <c r="C27" s="280" t="s">
        <v>812</v>
      </c>
      <c r="D27" s="246"/>
    </row>
    <row r="28" spans="1:17" ht="19.5" customHeight="1">
      <c r="A28" s="278">
        <v>25</v>
      </c>
      <c r="B28" s="279" t="s">
        <v>787</v>
      </c>
      <c r="C28" s="280" t="s">
        <v>813</v>
      </c>
      <c r="D28" s="246"/>
    </row>
    <row r="29" spans="1:17" ht="19.5" customHeight="1">
      <c r="A29" s="278">
        <v>26</v>
      </c>
      <c r="B29" s="279" t="s">
        <v>794</v>
      </c>
      <c r="C29" s="280" t="s">
        <v>814</v>
      </c>
      <c r="D29" s="246"/>
    </row>
    <row r="30" spans="1:17" ht="19.5" customHeight="1">
      <c r="A30" s="278">
        <v>27</v>
      </c>
      <c r="B30" s="279" t="s">
        <v>796</v>
      </c>
      <c r="C30" s="280" t="s">
        <v>815</v>
      </c>
      <c r="D30" s="246"/>
    </row>
    <row r="31" spans="1:17" ht="19.5" customHeight="1">
      <c r="A31" s="278">
        <v>28</v>
      </c>
      <c r="B31" s="279" t="s">
        <v>798</v>
      </c>
      <c r="C31" s="280" t="s">
        <v>816</v>
      </c>
      <c r="D31" s="246"/>
      <c r="H31" s="237"/>
      <c r="Q31" s="237"/>
    </row>
    <row r="32" spans="1:17" ht="19.5" customHeight="1">
      <c r="A32" s="278">
        <v>29</v>
      </c>
      <c r="B32" s="279" t="s">
        <v>800</v>
      </c>
      <c r="C32" s="280" t="s">
        <v>817</v>
      </c>
      <c r="D32" s="246"/>
      <c r="H32" s="237"/>
      <c r="Q32" s="237"/>
    </row>
    <row r="33" spans="1:4" ht="19.5" customHeight="1">
      <c r="A33" s="278">
        <v>30</v>
      </c>
      <c r="B33" s="279" t="s">
        <v>818</v>
      </c>
      <c r="C33" s="280" t="s">
        <v>819</v>
      </c>
      <c r="D33" s="246"/>
    </row>
    <row r="35" spans="1:4">
      <c r="A35" s="372"/>
      <c r="B35" s="372"/>
    </row>
    <row r="36" spans="1:4">
      <c r="A36" s="284"/>
    </row>
  </sheetData>
  <mergeCells count="2">
    <mergeCell ref="A1:C1"/>
    <mergeCell ref="A35:B35"/>
  </mergeCells>
  <pageMargins left="0.6" right="0.4" top="0.5" bottom="0.7" header="0.3" footer="0.3"/>
  <pageSetup paperSize="9" orientation="portrait" r:id="rId1"/>
  <headerFooter>
    <oddFooter>&amp;L&amp;"Times New Roman,nghiêng"&amp;10Ngày ban hành: 17/06/2024&amp;C&amp;"Times New Roman,nghiêng"&amp;10Lần sửa đổi: 02&amp;R&amp;"Times New Roman,nghiêng"&amp;10Mã số: PL-LMSL-QLCL-03</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29F7-31F7-41B2-840C-A2B083F0067B}">
  <dimension ref="A4:D29"/>
  <sheetViews>
    <sheetView topLeftCell="A4" workbookViewId="0">
      <selection activeCell="B9" sqref="B9"/>
    </sheetView>
  </sheetViews>
  <sheetFormatPr defaultColWidth="9.1796875" defaultRowHeight="16.8"/>
  <cols>
    <col min="1" max="1" width="9.1796875" style="112"/>
    <col min="2" max="2" width="31.08984375" style="112" customWidth="1"/>
    <col min="3" max="3" width="17.08984375" style="112" customWidth="1"/>
    <col min="4" max="4" width="17.36328125" style="112" customWidth="1"/>
    <col min="5" max="16384" width="9.1796875" style="112"/>
  </cols>
  <sheetData>
    <row r="4" spans="1:4" ht="36.6" customHeight="1">
      <c r="A4" s="373" t="s">
        <v>643</v>
      </c>
      <c r="B4" s="373"/>
      <c r="C4" s="373"/>
      <c r="D4" s="373"/>
    </row>
    <row r="5" spans="1:4">
      <c r="A5" s="111" t="s">
        <v>309</v>
      </c>
      <c r="B5" s="111" t="s">
        <v>472</v>
      </c>
      <c r="C5" s="111" t="s">
        <v>446</v>
      </c>
      <c r="D5" s="111" t="s">
        <v>471</v>
      </c>
    </row>
    <row r="6" spans="1:4">
      <c r="A6" s="113">
        <v>1</v>
      </c>
      <c r="B6" s="114" t="s">
        <v>422</v>
      </c>
      <c r="C6" s="115" t="s">
        <v>447</v>
      </c>
      <c r="D6" s="116">
        <v>178</v>
      </c>
    </row>
    <row r="7" spans="1:4">
      <c r="A7" s="113">
        <v>2</v>
      </c>
      <c r="B7" s="114" t="s">
        <v>423</v>
      </c>
      <c r="C7" s="115" t="s">
        <v>448</v>
      </c>
      <c r="D7" s="116">
        <v>95</v>
      </c>
    </row>
    <row r="8" spans="1:4">
      <c r="A8" s="113">
        <v>3</v>
      </c>
      <c r="B8" s="114" t="s">
        <v>424</v>
      </c>
      <c r="C8" s="115" t="s">
        <v>449</v>
      </c>
      <c r="D8" s="116">
        <v>110</v>
      </c>
    </row>
    <row r="9" spans="1:4">
      <c r="A9" s="113">
        <v>4</v>
      </c>
      <c r="B9" s="114" t="s">
        <v>425</v>
      </c>
      <c r="C9" s="115" t="s">
        <v>450</v>
      </c>
      <c r="D9" s="116">
        <v>95</v>
      </c>
    </row>
    <row r="10" spans="1:4">
      <c r="A10" s="113">
        <v>5</v>
      </c>
      <c r="B10" s="114" t="s">
        <v>426</v>
      </c>
      <c r="C10" s="115" t="s">
        <v>451</v>
      </c>
      <c r="D10" s="116">
        <v>142</v>
      </c>
    </row>
    <row r="11" spans="1:4">
      <c r="A11" s="113">
        <v>6</v>
      </c>
      <c r="B11" s="114" t="s">
        <v>427</v>
      </c>
      <c r="C11" s="115" t="s">
        <v>452</v>
      </c>
      <c r="D11" s="116">
        <v>144</v>
      </c>
    </row>
    <row r="12" spans="1:4">
      <c r="A12" s="113">
        <v>7</v>
      </c>
      <c r="B12" s="114" t="s">
        <v>428</v>
      </c>
      <c r="C12" s="115" t="s">
        <v>453</v>
      </c>
      <c r="D12" s="116">
        <v>195</v>
      </c>
    </row>
    <row r="13" spans="1:4">
      <c r="A13" s="113">
        <v>8</v>
      </c>
      <c r="B13" s="114" t="s">
        <v>429</v>
      </c>
      <c r="C13" s="115" t="s">
        <v>454</v>
      </c>
      <c r="D13" s="116">
        <v>90</v>
      </c>
    </row>
    <row r="14" spans="1:4">
      <c r="A14" s="113">
        <v>9</v>
      </c>
      <c r="B14" s="114" t="s">
        <v>430</v>
      </c>
      <c r="C14" s="115" t="s">
        <v>455</v>
      </c>
      <c r="D14" s="116">
        <v>97</v>
      </c>
    </row>
    <row r="15" spans="1:4">
      <c r="A15" s="113">
        <v>10</v>
      </c>
      <c r="B15" s="114" t="s">
        <v>431</v>
      </c>
      <c r="C15" s="115" t="s">
        <v>456</v>
      </c>
      <c r="D15" s="116">
        <v>119</v>
      </c>
    </row>
    <row r="16" spans="1:4">
      <c r="A16" s="113">
        <v>11</v>
      </c>
      <c r="B16" s="114" t="s">
        <v>432</v>
      </c>
      <c r="C16" s="115" t="s">
        <v>457</v>
      </c>
      <c r="D16" s="116">
        <v>90</v>
      </c>
    </row>
    <row r="17" spans="1:4">
      <c r="A17" s="113">
        <v>12</v>
      </c>
      <c r="B17" s="114" t="s">
        <v>433</v>
      </c>
      <c r="C17" s="115" t="s">
        <v>458</v>
      </c>
      <c r="D17" s="116">
        <v>188</v>
      </c>
    </row>
    <row r="18" spans="1:4">
      <c r="A18" s="113">
        <v>13</v>
      </c>
      <c r="B18" s="114" t="s">
        <v>434</v>
      </c>
      <c r="C18" s="115" t="s">
        <v>459</v>
      </c>
      <c r="D18" s="116">
        <v>120</v>
      </c>
    </row>
    <row r="19" spans="1:4">
      <c r="A19" s="113">
        <v>14</v>
      </c>
      <c r="B19" s="114" t="s">
        <v>435</v>
      </c>
      <c r="C19" s="115" t="s">
        <v>460</v>
      </c>
      <c r="D19" s="116">
        <v>64</v>
      </c>
    </row>
    <row r="20" spans="1:4">
      <c r="A20" s="113">
        <v>15</v>
      </c>
      <c r="B20" s="114" t="s">
        <v>436</v>
      </c>
      <c r="C20" s="115" t="s">
        <v>461</v>
      </c>
      <c r="D20" s="116">
        <v>109</v>
      </c>
    </row>
    <row r="21" spans="1:4">
      <c r="A21" s="113">
        <v>16</v>
      </c>
      <c r="B21" s="114" t="s">
        <v>437</v>
      </c>
      <c r="C21" s="115" t="s">
        <v>462</v>
      </c>
      <c r="D21" s="116">
        <v>120</v>
      </c>
    </row>
    <row r="22" spans="1:4">
      <c r="A22" s="113">
        <v>17</v>
      </c>
      <c r="B22" s="114" t="s">
        <v>438</v>
      </c>
      <c r="C22" s="117" t="s">
        <v>463</v>
      </c>
      <c r="D22" s="116">
        <v>120</v>
      </c>
    </row>
    <row r="23" spans="1:4">
      <c r="A23" s="113">
        <v>18</v>
      </c>
      <c r="B23" s="114" t="s">
        <v>439</v>
      </c>
      <c r="C23" s="115" t="s">
        <v>464</v>
      </c>
      <c r="D23" s="116">
        <v>98</v>
      </c>
    </row>
    <row r="24" spans="1:4">
      <c r="A24" s="113">
        <v>19</v>
      </c>
      <c r="B24" s="114" t="s">
        <v>440</v>
      </c>
      <c r="C24" s="115" t="s">
        <v>465</v>
      </c>
      <c r="D24" s="116">
        <v>40</v>
      </c>
    </row>
    <row r="25" spans="1:4">
      <c r="A25" s="113">
        <v>20</v>
      </c>
      <c r="B25" s="114" t="s">
        <v>441</v>
      </c>
      <c r="C25" s="115" t="s">
        <v>466</v>
      </c>
      <c r="D25" s="116">
        <v>120</v>
      </c>
    </row>
    <row r="26" spans="1:4">
      <c r="A26" s="113">
        <v>21</v>
      </c>
      <c r="B26" s="114" t="s">
        <v>442</v>
      </c>
      <c r="C26" s="115" t="s">
        <v>467</v>
      </c>
      <c r="D26" s="116">
        <v>60</v>
      </c>
    </row>
    <row r="27" spans="1:4">
      <c r="A27" s="113">
        <v>22</v>
      </c>
      <c r="B27" s="114" t="s">
        <v>443</v>
      </c>
      <c r="C27" s="115" t="s">
        <v>468</v>
      </c>
      <c r="D27" s="116">
        <v>178</v>
      </c>
    </row>
    <row r="28" spans="1:4">
      <c r="A28" s="113">
        <v>23</v>
      </c>
      <c r="B28" s="114" t="s">
        <v>444</v>
      </c>
      <c r="C28" s="117" t="s">
        <v>469</v>
      </c>
      <c r="D28" s="116">
        <v>120</v>
      </c>
    </row>
    <row r="29" spans="1:4">
      <c r="A29" s="113">
        <v>24</v>
      </c>
      <c r="B29" s="114" t="s">
        <v>445</v>
      </c>
      <c r="C29" s="117" t="s">
        <v>470</v>
      </c>
      <c r="D29" s="116">
        <v>100</v>
      </c>
    </row>
  </sheetData>
  <mergeCells count="1">
    <mergeCell ref="A4:D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A8328-452B-498C-A868-1ABCAB97E970}">
  <dimension ref="A2:E28"/>
  <sheetViews>
    <sheetView topLeftCell="A7" workbookViewId="0">
      <selection activeCell="B15" sqref="B15"/>
    </sheetView>
  </sheetViews>
  <sheetFormatPr defaultRowHeight="16.8"/>
  <cols>
    <col min="1" max="1" width="17.90625" customWidth="1"/>
    <col min="2" max="2" width="19.90625" customWidth="1"/>
    <col min="3" max="3" width="26.90625" customWidth="1"/>
    <col min="4" max="4" width="29.6328125" customWidth="1"/>
    <col min="5" max="5" width="32.54296875" customWidth="1"/>
  </cols>
  <sheetData>
    <row r="2" spans="1:4">
      <c r="A2" s="4" t="s">
        <v>123</v>
      </c>
    </row>
    <row r="3" spans="1:4">
      <c r="A3" s="29" t="s">
        <v>111</v>
      </c>
      <c r="B3" s="29" t="s">
        <v>112</v>
      </c>
      <c r="C3" s="26" t="s">
        <v>118</v>
      </c>
    </row>
    <row r="4" spans="1:4">
      <c r="A4" s="225" t="s">
        <v>113</v>
      </c>
      <c r="B4" s="225" t="s">
        <v>114</v>
      </c>
      <c r="C4" s="25" t="s">
        <v>119</v>
      </c>
      <c r="D4" t="s">
        <v>300</v>
      </c>
    </row>
    <row r="5" spans="1:4">
      <c r="A5" s="225" t="s">
        <v>117</v>
      </c>
      <c r="B5" s="225" t="s">
        <v>115</v>
      </c>
      <c r="C5" s="25" t="s">
        <v>121</v>
      </c>
      <c r="D5" t="s">
        <v>301</v>
      </c>
    </row>
    <row r="6" spans="1:4">
      <c r="A6" s="225" t="s">
        <v>116</v>
      </c>
      <c r="B6" s="225" t="s">
        <v>144</v>
      </c>
      <c r="C6" s="25" t="s">
        <v>120</v>
      </c>
      <c r="D6" t="s">
        <v>302</v>
      </c>
    </row>
    <row r="8" spans="1:4">
      <c r="A8" t="s">
        <v>166</v>
      </c>
    </row>
    <row r="9" spans="1:4">
      <c r="A9" t="s">
        <v>164</v>
      </c>
    </row>
    <row r="10" spans="1:4">
      <c r="A10" t="s">
        <v>154</v>
      </c>
    </row>
    <row r="11" spans="1:4">
      <c r="A11" t="s">
        <v>165</v>
      </c>
    </row>
    <row r="12" spans="1:4">
      <c r="A12" t="s">
        <v>153</v>
      </c>
    </row>
    <row r="13" spans="1:4">
      <c r="A13" t="s">
        <v>299</v>
      </c>
    </row>
    <row r="15" spans="1:4" ht="31.5" customHeight="1">
      <c r="A15" s="31" t="s">
        <v>122</v>
      </c>
      <c r="B15" s="1" t="s">
        <v>417</v>
      </c>
      <c r="D15" s="27"/>
    </row>
    <row r="16" spans="1:4" ht="18" customHeight="1">
      <c r="A16" s="31"/>
      <c r="B16" s="1"/>
      <c r="D16" s="27"/>
    </row>
    <row r="17" spans="1:5">
      <c r="A17" s="26" t="s">
        <v>140</v>
      </c>
      <c r="B17" s="29" t="s">
        <v>141</v>
      </c>
      <c r="C17" s="26" t="s">
        <v>139</v>
      </c>
      <c r="D17" s="30" t="s">
        <v>127</v>
      </c>
      <c r="E17" s="26" t="s">
        <v>128</v>
      </c>
    </row>
    <row r="18" spans="1:5" ht="31.2">
      <c r="A18" s="377" t="s">
        <v>138</v>
      </c>
      <c r="B18" s="32" t="s">
        <v>142</v>
      </c>
      <c r="C18" s="33" t="s">
        <v>124</v>
      </c>
      <c r="D18" s="33" t="s">
        <v>125</v>
      </c>
      <c r="E18" s="33" t="s">
        <v>129</v>
      </c>
    </row>
    <row r="19" spans="1:5" ht="49.5" customHeight="1">
      <c r="A19" s="378"/>
      <c r="B19" s="32" t="s">
        <v>142</v>
      </c>
      <c r="C19" s="33" t="s">
        <v>126</v>
      </c>
      <c r="D19" s="25" t="s">
        <v>132</v>
      </c>
      <c r="E19" s="34" t="s">
        <v>130</v>
      </c>
    </row>
    <row r="20" spans="1:5" ht="49.5" customHeight="1">
      <c r="A20" s="374" t="s">
        <v>146</v>
      </c>
      <c r="B20" s="25" t="s">
        <v>143</v>
      </c>
      <c r="C20" s="25" t="s">
        <v>131</v>
      </c>
      <c r="D20" s="25" t="s">
        <v>132</v>
      </c>
      <c r="E20" s="33" t="s">
        <v>133</v>
      </c>
    </row>
    <row r="21" spans="1:5" ht="33.6">
      <c r="A21" s="375"/>
      <c r="B21" s="25" t="s">
        <v>143</v>
      </c>
      <c r="C21" s="25" t="s">
        <v>135</v>
      </c>
      <c r="D21" s="25" t="s">
        <v>132</v>
      </c>
      <c r="E21" s="33" t="s">
        <v>134</v>
      </c>
    </row>
    <row r="22" spans="1:5" ht="33.6">
      <c r="A22" s="375"/>
      <c r="B22" s="25" t="s">
        <v>143</v>
      </c>
      <c r="C22" s="33" t="s">
        <v>136</v>
      </c>
      <c r="D22" s="25" t="s">
        <v>132</v>
      </c>
      <c r="E22" s="33" t="s">
        <v>137</v>
      </c>
    </row>
    <row r="23" spans="1:5" ht="50.4">
      <c r="A23" s="376"/>
      <c r="B23" s="25" t="s">
        <v>143</v>
      </c>
      <c r="C23" s="35" t="s">
        <v>152</v>
      </c>
      <c r="D23" s="25"/>
      <c r="E23" s="33"/>
    </row>
    <row r="24" spans="1:5" ht="33.6">
      <c r="A24" s="374" t="s">
        <v>151</v>
      </c>
      <c r="B24" s="25" t="s">
        <v>143</v>
      </c>
      <c r="C24" s="33" t="s">
        <v>145</v>
      </c>
      <c r="D24" s="25" t="s">
        <v>149</v>
      </c>
      <c r="E24" s="25" t="s">
        <v>147</v>
      </c>
    </row>
    <row r="25" spans="1:5" ht="33.6">
      <c r="A25" s="375"/>
      <c r="B25" s="25" t="s">
        <v>143</v>
      </c>
      <c r="C25" s="33" t="s">
        <v>148</v>
      </c>
      <c r="D25" s="25" t="s">
        <v>149</v>
      </c>
      <c r="E25" s="33" t="s">
        <v>150</v>
      </c>
    </row>
    <row r="26" spans="1:5" ht="46.5" customHeight="1">
      <c r="A26" s="376"/>
      <c r="B26" s="25" t="s">
        <v>143</v>
      </c>
      <c r="C26" s="33" t="s">
        <v>136</v>
      </c>
      <c r="D26" s="25" t="s">
        <v>149</v>
      </c>
      <c r="E26" s="25" t="s">
        <v>147</v>
      </c>
    </row>
    <row r="27" spans="1:5" ht="69.900000000000006" customHeight="1">
      <c r="A27" s="33" t="s">
        <v>257</v>
      </c>
      <c r="B27" s="25" t="s">
        <v>143</v>
      </c>
      <c r="C27" s="25" t="s">
        <v>421</v>
      </c>
      <c r="D27" s="25" t="s">
        <v>258</v>
      </c>
      <c r="E27" s="33" t="s">
        <v>259</v>
      </c>
    </row>
    <row r="28" spans="1:5" ht="33.6">
      <c r="A28" s="33" t="s">
        <v>418</v>
      </c>
      <c r="B28" s="25" t="s">
        <v>143</v>
      </c>
      <c r="C28" s="25" t="s">
        <v>260</v>
      </c>
      <c r="D28" s="25" t="s">
        <v>261</v>
      </c>
      <c r="E28" s="33" t="s">
        <v>262</v>
      </c>
    </row>
  </sheetData>
  <mergeCells count="3">
    <mergeCell ref="A24:A26"/>
    <mergeCell ref="A18:A19"/>
    <mergeCell ref="A20:A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2834-D0E2-42DA-B63E-151EE191A309}">
  <dimension ref="B3:D13"/>
  <sheetViews>
    <sheetView topLeftCell="A7" workbookViewId="0">
      <selection activeCell="F12" sqref="F12"/>
    </sheetView>
  </sheetViews>
  <sheetFormatPr defaultRowHeight="16.8"/>
  <cols>
    <col min="2" max="2" width="45.08984375" customWidth="1"/>
    <col min="3" max="3" width="13.90625" customWidth="1"/>
    <col min="4" max="4" width="28.81640625" customWidth="1"/>
  </cols>
  <sheetData>
    <row r="3" spans="2:4">
      <c r="B3" t="s">
        <v>232</v>
      </c>
    </row>
    <row r="4" spans="2:4">
      <c r="B4" t="s">
        <v>231</v>
      </c>
    </row>
    <row r="5" spans="2:4">
      <c r="B5" s="26" t="s">
        <v>239</v>
      </c>
      <c r="C5" s="26" t="s">
        <v>240</v>
      </c>
      <c r="D5" s="379" t="s">
        <v>412</v>
      </c>
    </row>
    <row r="6" spans="2:4" ht="42.9" customHeight="1">
      <c r="B6" s="50" t="s">
        <v>246</v>
      </c>
      <c r="C6" s="33" t="s">
        <v>238</v>
      </c>
      <c r="D6" s="379"/>
    </row>
    <row r="7" spans="2:4" ht="30.6" customHeight="1">
      <c r="B7" s="50" t="s">
        <v>241</v>
      </c>
      <c r="C7" s="33" t="s">
        <v>247</v>
      </c>
      <c r="D7" s="379"/>
    </row>
    <row r="8" spans="2:4" ht="30.6" customHeight="1">
      <c r="B8" s="50" t="s">
        <v>242</v>
      </c>
      <c r="C8" s="33" t="s">
        <v>233</v>
      </c>
      <c r="D8" s="379"/>
    </row>
    <row r="9" spans="2:4" ht="30.6" customHeight="1">
      <c r="B9" s="50" t="s">
        <v>243</v>
      </c>
      <c r="C9" s="33" t="s">
        <v>234</v>
      </c>
      <c r="D9" s="379"/>
    </row>
    <row r="10" spans="2:4" ht="30.6" customHeight="1">
      <c r="B10" s="50" t="s">
        <v>244</v>
      </c>
      <c r="C10" s="33" t="s">
        <v>235</v>
      </c>
      <c r="D10" s="379"/>
    </row>
    <row r="11" spans="2:4" ht="30.6" customHeight="1">
      <c r="B11" s="50" t="s">
        <v>245</v>
      </c>
      <c r="C11" s="33" t="s">
        <v>236</v>
      </c>
      <c r="D11" s="379"/>
    </row>
    <row r="12" spans="2:4" ht="40.5" customHeight="1">
      <c r="B12" s="50" t="s">
        <v>249</v>
      </c>
      <c r="C12" s="33" t="s">
        <v>237</v>
      </c>
      <c r="D12" s="379"/>
    </row>
    <row r="13" spans="2:4" ht="26.4" customHeight="1">
      <c r="B13" s="50" t="s">
        <v>248</v>
      </c>
      <c r="C13" s="33" t="s">
        <v>294</v>
      </c>
      <c r="D13" s="379"/>
    </row>
  </sheetData>
  <mergeCells count="1">
    <mergeCell ref="D5:D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6E30-29A8-46B8-884F-7D4B32FDB3E6}">
  <dimension ref="B2:C12"/>
  <sheetViews>
    <sheetView workbookViewId="0">
      <selection activeCell="C10" sqref="C10"/>
    </sheetView>
  </sheetViews>
  <sheetFormatPr defaultRowHeight="16.8"/>
  <cols>
    <col min="2" max="2" width="25.54296875" customWidth="1"/>
    <col min="3" max="3" width="43.08984375" customWidth="1"/>
  </cols>
  <sheetData>
    <row r="2" spans="2:3">
      <c r="B2" t="s">
        <v>651</v>
      </c>
    </row>
    <row r="4" spans="2:3" ht="46.8">
      <c r="B4" s="118" t="s">
        <v>304</v>
      </c>
      <c r="C4" s="119" t="s">
        <v>287</v>
      </c>
    </row>
    <row r="5" spans="2:3" ht="38.4" customHeight="1">
      <c r="B5" s="119" t="s">
        <v>305</v>
      </c>
      <c r="C5" s="119" t="s">
        <v>287</v>
      </c>
    </row>
    <row r="6" spans="2:3" ht="42.9" customHeight="1">
      <c r="B6" s="119" t="s">
        <v>306</v>
      </c>
      <c r="C6" s="119" t="s">
        <v>288</v>
      </c>
    </row>
    <row r="7" spans="2:3" ht="54.9" customHeight="1">
      <c r="B7" s="119" t="s">
        <v>307</v>
      </c>
      <c r="C7" s="119" t="s">
        <v>290</v>
      </c>
    </row>
    <row r="8" spans="2:3">
      <c r="B8" s="119" t="s">
        <v>1</v>
      </c>
      <c r="C8" s="119" t="s">
        <v>289</v>
      </c>
    </row>
    <row r="9" spans="2:3" ht="33.6">
      <c r="B9" s="119" t="s">
        <v>295</v>
      </c>
      <c r="C9" s="119" t="s">
        <v>296</v>
      </c>
    </row>
    <row r="10" spans="2:3" ht="84">
      <c r="B10" s="120" t="s">
        <v>413</v>
      </c>
      <c r="C10" s="121" t="s">
        <v>414</v>
      </c>
    </row>
    <row r="11" spans="2:3" ht="33.6">
      <c r="B11" s="119" t="s">
        <v>415</v>
      </c>
      <c r="C11" s="119" t="s">
        <v>416</v>
      </c>
    </row>
    <row r="12" spans="2:3" ht="33.6">
      <c r="B12" s="119" t="s">
        <v>419</v>
      </c>
      <c r="C12" s="119" t="s">
        <v>420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2954-AD5B-4319-ADD5-7AA1738D4632}">
  <dimension ref="B3:E15"/>
  <sheetViews>
    <sheetView topLeftCell="A7" workbookViewId="0">
      <selection activeCell="D17" sqref="D17"/>
    </sheetView>
  </sheetViews>
  <sheetFormatPr defaultRowHeight="16.8"/>
  <cols>
    <col min="2" max="2" width="11.36328125" customWidth="1"/>
    <col min="3" max="3" width="19.1796875" customWidth="1"/>
    <col min="4" max="4" width="38.81640625" customWidth="1"/>
    <col min="5" max="5" width="34.1796875" customWidth="1"/>
  </cols>
  <sheetData>
    <row r="3" spans="2:5">
      <c r="B3" t="s">
        <v>7</v>
      </c>
    </row>
    <row r="4" spans="2:5">
      <c r="C4" s="26" t="s">
        <v>155</v>
      </c>
      <c r="D4" s="26" t="s">
        <v>156</v>
      </c>
      <c r="E4" s="26" t="s">
        <v>157</v>
      </c>
    </row>
    <row r="5" spans="2:5">
      <c r="C5" s="380" t="s">
        <v>11</v>
      </c>
      <c r="D5" s="24" t="s">
        <v>158</v>
      </c>
      <c r="E5" s="24" t="s">
        <v>10</v>
      </c>
    </row>
    <row r="6" spans="2:5">
      <c r="C6" s="381"/>
      <c r="D6" s="36" t="s">
        <v>159</v>
      </c>
      <c r="E6" s="36" t="s">
        <v>9</v>
      </c>
    </row>
    <row r="7" spans="2:5">
      <c r="C7" s="382"/>
      <c r="D7" s="24" t="s">
        <v>160</v>
      </c>
      <c r="E7" s="24" t="s">
        <v>8</v>
      </c>
    </row>
    <row r="8" spans="2:5">
      <c r="C8" s="383" t="s">
        <v>12</v>
      </c>
      <c r="D8" s="81" t="s">
        <v>161</v>
      </c>
      <c r="E8" s="81" t="s">
        <v>9</v>
      </c>
    </row>
    <row r="9" spans="2:5">
      <c r="C9" s="384"/>
      <c r="D9" s="81" t="s">
        <v>163</v>
      </c>
      <c r="E9" s="81" t="s">
        <v>8</v>
      </c>
    </row>
    <row r="10" spans="2:5">
      <c r="C10" s="385"/>
      <c r="D10" s="82" t="s">
        <v>4</v>
      </c>
      <c r="E10" s="81" t="s">
        <v>8</v>
      </c>
    </row>
    <row r="11" spans="2:5">
      <c r="C11" s="380" t="s">
        <v>13</v>
      </c>
      <c r="D11" s="24" t="s">
        <v>162</v>
      </c>
      <c r="E11" s="24" t="s">
        <v>10</v>
      </c>
    </row>
    <row r="12" spans="2:5">
      <c r="C12" s="381"/>
      <c r="D12" s="24" t="s">
        <v>5</v>
      </c>
      <c r="E12" s="24" t="s">
        <v>8</v>
      </c>
    </row>
    <row r="13" spans="2:5">
      <c r="C13" s="381"/>
      <c r="D13" s="24" t="s">
        <v>6</v>
      </c>
      <c r="E13" s="24" t="s">
        <v>8</v>
      </c>
    </row>
    <row r="14" spans="2:5">
      <c r="C14" s="381"/>
      <c r="D14" s="36" t="s">
        <v>820</v>
      </c>
      <c r="E14" s="36" t="s">
        <v>9</v>
      </c>
    </row>
    <row r="15" spans="2:5">
      <c r="C15" s="382"/>
      <c r="D15" s="36" t="s">
        <v>3</v>
      </c>
      <c r="E15" s="36" t="s">
        <v>9</v>
      </c>
    </row>
  </sheetData>
  <mergeCells count="3">
    <mergeCell ref="C5:C7"/>
    <mergeCell ref="C8:C10"/>
    <mergeCell ref="C11:C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B0C0-4490-4D78-99D2-ED50F27320B7}">
  <dimension ref="A1:H54"/>
  <sheetViews>
    <sheetView workbookViewId="0">
      <selection activeCell="K7" sqref="K7"/>
    </sheetView>
  </sheetViews>
  <sheetFormatPr defaultColWidth="7.81640625" defaultRowHeight="16.8"/>
  <cols>
    <col min="1" max="1" width="5.08984375" style="126" customWidth="1"/>
    <col min="2" max="2" width="21.36328125" style="126" customWidth="1"/>
    <col min="3" max="3" width="9.90625" style="126" customWidth="1"/>
    <col min="4" max="4" width="9.08984375" style="126" customWidth="1"/>
    <col min="5" max="5" width="9.81640625" style="126" customWidth="1"/>
    <col min="6" max="6" width="11.08984375" style="126" customWidth="1"/>
    <col min="7" max="7" width="8.6328125" style="126" customWidth="1"/>
    <col min="8" max="8" width="8" style="126" customWidth="1"/>
    <col min="9" max="16384" width="7.81640625" style="126"/>
  </cols>
  <sheetData>
    <row r="1" spans="1:8" s="125" customFormat="1" ht="21.6" customHeight="1">
      <c r="A1" s="388"/>
      <c r="B1" s="389"/>
      <c r="C1" s="394" t="s">
        <v>479</v>
      </c>
      <c r="D1" s="395"/>
      <c r="E1" s="395"/>
      <c r="F1" s="396"/>
      <c r="G1" s="292" t="s">
        <v>480</v>
      </c>
      <c r="H1" s="292"/>
    </row>
    <row r="2" spans="1:8" s="125" customFormat="1" ht="31.5" customHeight="1">
      <c r="A2" s="390"/>
      <c r="B2" s="391"/>
      <c r="C2" s="397"/>
      <c r="D2" s="398"/>
      <c r="E2" s="398"/>
      <c r="F2" s="399"/>
      <c r="G2" s="293" t="s">
        <v>81</v>
      </c>
      <c r="H2" s="293"/>
    </row>
    <row r="3" spans="1:8" s="125" customFormat="1" ht="21" customHeight="1" thickBot="1">
      <c r="A3" s="392"/>
      <c r="B3" s="393"/>
      <c r="C3" s="400"/>
      <c r="D3" s="401"/>
      <c r="E3" s="401"/>
      <c r="F3" s="402"/>
      <c r="G3" s="403" t="s">
        <v>481</v>
      </c>
      <c r="H3" s="403"/>
    </row>
    <row r="4" spans="1:8" ht="9.9" customHeight="1"/>
    <row r="5" spans="1:8" ht="33.9" customHeight="1">
      <c r="A5" s="404" t="s">
        <v>482</v>
      </c>
      <c r="B5" s="404"/>
      <c r="C5" s="404"/>
      <c r="D5" s="404"/>
      <c r="E5" s="404"/>
      <c r="F5" s="404"/>
      <c r="G5" s="404"/>
      <c r="H5" s="404"/>
    </row>
    <row r="6" spans="1:8">
      <c r="A6" s="127" t="s">
        <v>483</v>
      </c>
      <c r="B6" s="128" t="s">
        <v>484</v>
      </c>
      <c r="C6" s="128"/>
      <c r="D6" s="128"/>
      <c r="E6" s="128" t="s">
        <v>485</v>
      </c>
      <c r="F6" s="128"/>
      <c r="G6" s="128"/>
      <c r="H6" s="128"/>
    </row>
    <row r="7" spans="1:8">
      <c r="A7" s="127" t="s">
        <v>486</v>
      </c>
      <c r="B7" s="128" t="s">
        <v>484</v>
      </c>
      <c r="C7" s="128"/>
      <c r="D7" s="128"/>
      <c r="E7" s="128" t="s">
        <v>485</v>
      </c>
      <c r="F7" s="128"/>
      <c r="G7" s="128"/>
      <c r="H7" s="128"/>
    </row>
    <row r="8" spans="1:8" ht="36" customHeight="1">
      <c r="A8" s="405" t="s">
        <v>487</v>
      </c>
      <c r="B8" s="405"/>
      <c r="C8" s="405"/>
      <c r="D8" s="405"/>
      <c r="E8" s="405"/>
      <c r="F8" s="405"/>
      <c r="G8" s="405"/>
      <c r="H8" s="405"/>
    </row>
    <row r="9" spans="1:8" ht="18.899999999999999" customHeight="1">
      <c r="A9" s="406" t="s">
        <v>488</v>
      </c>
      <c r="B9" s="406"/>
      <c r="C9" s="406"/>
      <c r="D9" s="406"/>
      <c r="E9" s="406"/>
      <c r="F9" s="406"/>
      <c r="G9" s="406"/>
      <c r="H9" s="406"/>
    </row>
    <row r="10" spans="1:8" ht="36" customHeight="1">
      <c r="A10" s="129" t="s">
        <v>489</v>
      </c>
      <c r="B10" s="129" t="s">
        <v>490</v>
      </c>
      <c r="C10" s="129" t="s">
        <v>491</v>
      </c>
      <c r="D10" s="129" t="s">
        <v>492</v>
      </c>
      <c r="E10" s="129" t="s">
        <v>493</v>
      </c>
      <c r="F10" s="129" t="s">
        <v>494</v>
      </c>
      <c r="G10" s="407" t="s">
        <v>495</v>
      </c>
      <c r="H10" s="408"/>
    </row>
    <row r="11" spans="1:8">
      <c r="A11" s="130" t="s">
        <v>496</v>
      </c>
      <c r="B11" s="130" t="s">
        <v>497</v>
      </c>
      <c r="C11" s="130" t="s">
        <v>498</v>
      </c>
      <c r="D11" s="130" t="s">
        <v>499</v>
      </c>
      <c r="E11" s="130" t="s">
        <v>500</v>
      </c>
      <c r="F11" s="130" t="s">
        <v>501</v>
      </c>
      <c r="G11" s="386" t="s">
        <v>502</v>
      </c>
      <c r="H11" s="387"/>
    </row>
    <row r="12" spans="1:8">
      <c r="A12" s="131"/>
      <c r="B12" s="131"/>
      <c r="C12" s="131"/>
      <c r="D12" s="131"/>
      <c r="E12" s="131"/>
      <c r="F12" s="131"/>
      <c r="G12" s="386"/>
      <c r="H12" s="387"/>
    </row>
    <row r="13" spans="1:8">
      <c r="A13" s="131"/>
      <c r="B13" s="131"/>
      <c r="C13" s="131"/>
      <c r="D13" s="131"/>
      <c r="E13" s="131"/>
      <c r="F13" s="131"/>
      <c r="G13" s="386"/>
      <c r="H13" s="387"/>
    </row>
    <row r="14" spans="1:8">
      <c r="A14" s="131"/>
      <c r="B14" s="131"/>
      <c r="C14" s="131"/>
      <c r="D14" s="131"/>
      <c r="E14" s="131"/>
      <c r="F14" s="131"/>
      <c r="G14" s="386"/>
      <c r="H14" s="387"/>
    </row>
    <row r="15" spans="1:8">
      <c r="A15" s="131"/>
      <c r="B15" s="131"/>
      <c r="C15" s="131"/>
      <c r="D15" s="131"/>
      <c r="E15" s="131"/>
      <c r="F15" s="131"/>
      <c r="G15" s="386"/>
      <c r="H15" s="387"/>
    </row>
    <row r="16" spans="1:8">
      <c r="A16" s="131"/>
      <c r="B16" s="131"/>
      <c r="C16" s="131"/>
      <c r="D16" s="131"/>
      <c r="E16" s="131"/>
      <c r="F16" s="131"/>
      <c r="G16" s="386"/>
      <c r="H16" s="387"/>
    </row>
    <row r="17" spans="1:8">
      <c r="A17" s="411" t="s">
        <v>503</v>
      </c>
      <c r="B17" s="412"/>
      <c r="C17" s="412"/>
      <c r="D17" s="413"/>
      <c r="E17" s="131"/>
      <c r="F17" s="131"/>
      <c r="G17" s="386"/>
      <c r="H17" s="387"/>
    </row>
    <row r="18" spans="1:8">
      <c r="A18" s="410" t="s">
        <v>504</v>
      </c>
      <c r="B18" s="410"/>
      <c r="C18" s="410"/>
      <c r="D18" s="410"/>
      <c r="E18" s="410"/>
      <c r="F18" s="410"/>
      <c r="G18" s="410"/>
      <c r="H18" s="410"/>
    </row>
    <row r="19" spans="1:8" ht="36" customHeight="1">
      <c r="A19" s="129" t="s">
        <v>505</v>
      </c>
      <c r="B19" s="129" t="s">
        <v>506</v>
      </c>
      <c r="C19" s="129" t="s">
        <v>507</v>
      </c>
      <c r="D19" s="129" t="s">
        <v>508</v>
      </c>
      <c r="E19" s="414" t="s">
        <v>509</v>
      </c>
      <c r="F19" s="415"/>
      <c r="G19" s="132" t="s">
        <v>510</v>
      </c>
      <c r="H19" s="132" t="s">
        <v>511</v>
      </c>
    </row>
    <row r="20" spans="1:8" ht="31.5" customHeight="1">
      <c r="A20" s="129">
        <v>1</v>
      </c>
      <c r="B20" s="133" t="s">
        <v>512</v>
      </c>
      <c r="C20" s="134"/>
      <c r="D20" s="134"/>
      <c r="E20" s="407"/>
      <c r="F20" s="408"/>
      <c r="G20" s="134"/>
      <c r="H20" s="134"/>
    </row>
    <row r="21" spans="1:8" ht="31.5" customHeight="1">
      <c r="A21" s="129">
        <v>2</v>
      </c>
      <c r="B21" s="133" t="s">
        <v>513</v>
      </c>
      <c r="C21" s="134"/>
      <c r="D21" s="134"/>
      <c r="E21" s="407"/>
      <c r="F21" s="408"/>
      <c r="G21" s="134"/>
      <c r="H21" s="134"/>
    </row>
    <row r="22" spans="1:8" ht="33.6" customHeight="1">
      <c r="A22" s="129">
        <v>3</v>
      </c>
      <c r="B22" s="133" t="s">
        <v>514</v>
      </c>
      <c r="C22" s="134"/>
      <c r="D22" s="134"/>
      <c r="E22" s="407"/>
      <c r="F22" s="408"/>
      <c r="G22" s="134"/>
      <c r="H22" s="134"/>
    </row>
    <row r="23" spans="1:8" ht="42.6" customHeight="1">
      <c r="A23" s="416" t="s">
        <v>515</v>
      </c>
      <c r="B23" s="416"/>
      <c r="C23" s="416"/>
      <c r="D23" s="416"/>
      <c r="E23" s="416"/>
      <c r="F23" s="416"/>
      <c r="G23" s="416"/>
      <c r="H23" s="416"/>
    </row>
    <row r="24" spans="1:8" ht="33.6" customHeight="1">
      <c r="A24" s="409" t="s">
        <v>516</v>
      </c>
      <c r="B24" s="410"/>
      <c r="C24" s="410"/>
      <c r="D24" s="410"/>
      <c r="E24" s="410"/>
      <c r="F24" s="410"/>
      <c r="G24" s="410"/>
      <c r="H24" s="410"/>
    </row>
    <row r="25" spans="1:8" ht="23.1" customHeight="1">
      <c r="A25" s="128"/>
      <c r="B25" s="135" t="s">
        <v>517</v>
      </c>
      <c r="C25" s="419" t="s">
        <v>518</v>
      </c>
      <c r="D25" s="419"/>
      <c r="E25" s="136"/>
      <c r="F25" s="417" t="s">
        <v>519</v>
      </c>
      <c r="G25" s="417"/>
      <c r="H25" s="128"/>
    </row>
    <row r="26" spans="1:8" ht="17.399999999999999" customHeight="1">
      <c r="A26" s="128"/>
      <c r="B26" s="135" t="s">
        <v>520</v>
      </c>
      <c r="C26" s="419" t="s">
        <v>518</v>
      </c>
      <c r="D26" s="419"/>
      <c r="E26" s="136"/>
      <c r="F26" s="417" t="s">
        <v>519</v>
      </c>
      <c r="G26" s="417"/>
      <c r="H26" s="128"/>
    </row>
    <row r="27" spans="1:8">
      <c r="A27" s="128"/>
      <c r="B27" s="135" t="s">
        <v>521</v>
      </c>
      <c r="C27" s="419" t="s">
        <v>518</v>
      </c>
      <c r="D27" s="419"/>
      <c r="E27" s="136"/>
      <c r="F27" s="417" t="s">
        <v>519</v>
      </c>
      <c r="G27" s="417"/>
      <c r="H27" s="128"/>
    </row>
    <row r="28" spans="1:8" ht="21.6" customHeight="1">
      <c r="A28" s="128"/>
      <c r="B28" s="135" t="s">
        <v>522</v>
      </c>
      <c r="C28" s="419" t="s">
        <v>518</v>
      </c>
      <c r="D28" s="419"/>
      <c r="E28" s="136"/>
      <c r="F28" s="417" t="s">
        <v>519</v>
      </c>
      <c r="G28" s="417"/>
      <c r="H28" s="128"/>
    </row>
    <row r="29" spans="1:8" ht="23.4" customHeight="1">
      <c r="A29" s="128"/>
      <c r="B29" s="137" t="s">
        <v>523</v>
      </c>
      <c r="C29" s="419" t="s">
        <v>524</v>
      </c>
      <c r="D29" s="419"/>
      <c r="E29" s="136"/>
      <c r="F29" s="136" t="s">
        <v>525</v>
      </c>
      <c r="G29" s="136"/>
      <c r="H29" s="136"/>
    </row>
    <row r="30" spans="1:8" ht="45" customHeight="1">
      <c r="A30" s="405" t="s">
        <v>526</v>
      </c>
      <c r="B30" s="405"/>
      <c r="C30" s="405"/>
      <c r="D30" s="405"/>
      <c r="E30" s="405"/>
      <c r="F30" s="405"/>
      <c r="G30" s="405"/>
      <c r="H30" s="405"/>
    </row>
    <row r="31" spans="1:8" ht="17.399999999999999">
      <c r="A31" s="138"/>
      <c r="B31" s="139" t="s">
        <v>527</v>
      </c>
      <c r="C31" s="138"/>
      <c r="D31" s="138"/>
      <c r="E31" s="138"/>
      <c r="F31" s="420" t="s">
        <v>528</v>
      </c>
      <c r="G31" s="420"/>
      <c r="H31" s="138"/>
    </row>
    <row r="32" spans="1:8">
      <c r="A32" s="417" t="s">
        <v>529</v>
      </c>
      <c r="B32" s="417"/>
      <c r="C32" s="417"/>
      <c r="D32" s="138"/>
      <c r="E32" s="418" t="s">
        <v>530</v>
      </c>
      <c r="F32" s="418"/>
      <c r="G32" s="418"/>
      <c r="H32" s="418"/>
    </row>
    <row r="33" spans="1:8">
      <c r="A33" s="138"/>
      <c r="B33" s="138"/>
      <c r="C33" s="138"/>
      <c r="D33" s="138"/>
      <c r="E33" s="138"/>
      <c r="F33" s="138"/>
      <c r="G33" s="138"/>
      <c r="H33" s="138"/>
    </row>
    <row r="34" spans="1:8">
      <c r="A34" s="138"/>
      <c r="B34" s="138"/>
      <c r="C34" s="138"/>
      <c r="D34" s="138"/>
      <c r="E34" s="138"/>
      <c r="F34" s="138"/>
      <c r="G34" s="138"/>
      <c r="H34" s="138"/>
    </row>
    <row r="35" spans="1:8">
      <c r="A35" s="138"/>
      <c r="B35" s="138"/>
      <c r="C35" s="138"/>
      <c r="D35" s="138"/>
      <c r="E35" s="138"/>
      <c r="F35" s="138"/>
      <c r="G35" s="138"/>
      <c r="H35" s="138"/>
    </row>
    <row r="36" spans="1:8">
      <c r="A36" s="138"/>
      <c r="B36" s="138"/>
      <c r="C36" s="138"/>
      <c r="D36" s="138"/>
      <c r="E36" s="138"/>
      <c r="F36" s="138"/>
      <c r="G36" s="138"/>
      <c r="H36" s="138"/>
    </row>
    <row r="37" spans="1:8">
      <c r="A37" s="138"/>
      <c r="B37" s="138"/>
      <c r="C37" s="138"/>
      <c r="D37" s="138"/>
      <c r="E37" s="138"/>
      <c r="F37" s="138"/>
      <c r="G37" s="138"/>
      <c r="H37" s="138"/>
    </row>
    <row r="38" spans="1:8">
      <c r="A38" s="138"/>
      <c r="B38" s="138"/>
      <c r="C38" s="138"/>
      <c r="D38" s="138"/>
      <c r="E38" s="138"/>
      <c r="F38" s="138"/>
      <c r="G38" s="138"/>
      <c r="H38" s="138"/>
    </row>
    <row r="39" spans="1:8">
      <c r="A39" s="138"/>
      <c r="B39" s="138"/>
      <c r="C39" s="138"/>
      <c r="D39" s="138"/>
      <c r="E39" s="138"/>
      <c r="F39" s="138"/>
      <c r="G39" s="138"/>
      <c r="H39" s="138"/>
    </row>
    <row r="40" spans="1:8">
      <c r="A40" s="138"/>
      <c r="B40" s="138"/>
      <c r="C40" s="138"/>
      <c r="D40" s="138"/>
      <c r="E40" s="138"/>
      <c r="F40" s="138"/>
      <c r="G40" s="138"/>
      <c r="H40" s="138"/>
    </row>
    <row r="41" spans="1:8">
      <c r="A41" s="138"/>
      <c r="B41" s="138"/>
      <c r="C41" s="138"/>
      <c r="D41" s="138"/>
      <c r="E41" s="138"/>
      <c r="F41" s="138"/>
      <c r="G41" s="138"/>
      <c r="H41" s="138"/>
    </row>
    <row r="42" spans="1:8">
      <c r="A42" s="138"/>
      <c r="B42" s="138"/>
      <c r="C42" s="138"/>
      <c r="D42" s="138"/>
      <c r="E42" s="138"/>
      <c r="F42" s="138"/>
      <c r="G42" s="138"/>
      <c r="H42" s="138"/>
    </row>
    <row r="43" spans="1:8">
      <c r="A43" s="138"/>
      <c r="B43" s="138"/>
      <c r="C43" s="138"/>
      <c r="D43" s="138"/>
      <c r="E43" s="138"/>
      <c r="F43" s="138"/>
      <c r="G43" s="138"/>
      <c r="H43" s="138"/>
    </row>
    <row r="44" spans="1:8">
      <c r="A44" s="138"/>
      <c r="B44" s="138"/>
      <c r="C44" s="138"/>
      <c r="D44" s="138"/>
      <c r="E44" s="138"/>
      <c r="F44" s="138"/>
      <c r="G44" s="138"/>
      <c r="H44" s="138"/>
    </row>
    <row r="45" spans="1:8">
      <c r="A45" s="138"/>
      <c r="B45" s="138"/>
      <c r="C45" s="138"/>
      <c r="D45" s="138"/>
      <c r="E45" s="138"/>
      <c r="F45" s="138"/>
      <c r="G45" s="138"/>
      <c r="H45" s="138"/>
    </row>
    <row r="46" spans="1:8">
      <c r="A46" s="138"/>
      <c r="B46" s="138"/>
      <c r="C46" s="138"/>
      <c r="D46" s="138"/>
      <c r="E46" s="138"/>
      <c r="F46" s="138"/>
      <c r="G46" s="138"/>
      <c r="H46" s="138"/>
    </row>
    <row r="47" spans="1:8">
      <c r="A47" s="138"/>
      <c r="B47" s="138"/>
      <c r="C47" s="138"/>
      <c r="D47" s="138"/>
      <c r="E47" s="138"/>
      <c r="F47" s="138"/>
      <c r="G47" s="138"/>
      <c r="H47" s="138"/>
    </row>
    <row r="48" spans="1:8">
      <c r="A48" s="138"/>
      <c r="B48" s="138"/>
      <c r="C48" s="138"/>
      <c r="D48" s="138"/>
      <c r="E48" s="138"/>
      <c r="F48" s="138"/>
      <c r="G48" s="138"/>
      <c r="H48" s="138"/>
    </row>
    <row r="49" spans="1:8">
      <c r="A49" s="138"/>
      <c r="B49" s="138"/>
      <c r="C49" s="138"/>
      <c r="D49" s="138"/>
      <c r="E49" s="138"/>
      <c r="F49" s="138"/>
      <c r="G49" s="138"/>
      <c r="H49" s="138"/>
    </row>
    <row r="50" spans="1:8">
      <c r="A50" s="138"/>
      <c r="B50" s="138"/>
      <c r="C50" s="138"/>
      <c r="D50" s="138"/>
      <c r="E50" s="138"/>
      <c r="F50" s="138"/>
      <c r="G50" s="138"/>
      <c r="H50" s="138"/>
    </row>
    <row r="51" spans="1:8">
      <c r="A51" s="138"/>
      <c r="B51" s="138"/>
      <c r="C51" s="138"/>
      <c r="D51" s="138"/>
      <c r="E51" s="138"/>
      <c r="F51" s="138"/>
      <c r="G51" s="138"/>
      <c r="H51" s="138"/>
    </row>
    <row r="52" spans="1:8">
      <c r="A52" s="138"/>
      <c r="B52" s="138"/>
      <c r="C52" s="138"/>
      <c r="D52" s="138"/>
      <c r="E52" s="138"/>
      <c r="F52" s="138"/>
      <c r="G52" s="138"/>
      <c r="H52" s="138"/>
    </row>
    <row r="53" spans="1:8">
      <c r="A53" s="138"/>
      <c r="B53" s="138"/>
      <c r="C53" s="138"/>
      <c r="D53" s="138"/>
      <c r="E53" s="138"/>
      <c r="F53" s="138"/>
      <c r="G53" s="138"/>
      <c r="H53" s="138"/>
    </row>
    <row r="54" spans="1:8">
      <c r="A54" s="138"/>
      <c r="B54" s="138"/>
      <c r="C54" s="138"/>
      <c r="D54" s="138"/>
      <c r="E54" s="138"/>
      <c r="F54" s="138"/>
      <c r="G54" s="138"/>
      <c r="H54" s="138"/>
    </row>
  </sheetData>
  <mergeCells count="37">
    <mergeCell ref="A32:C32"/>
    <mergeCell ref="E32:H32"/>
    <mergeCell ref="C25:D25"/>
    <mergeCell ref="F25:G25"/>
    <mergeCell ref="C26:D26"/>
    <mergeCell ref="F26:G26"/>
    <mergeCell ref="C27:D27"/>
    <mergeCell ref="F27:G27"/>
    <mergeCell ref="C28:D28"/>
    <mergeCell ref="F28:G28"/>
    <mergeCell ref="C29:D29"/>
    <mergeCell ref="A30:H30"/>
    <mergeCell ref="F31:G31"/>
    <mergeCell ref="A24:H24"/>
    <mergeCell ref="G14:H14"/>
    <mergeCell ref="G15:H15"/>
    <mergeCell ref="G16:H16"/>
    <mergeCell ref="A17:D17"/>
    <mergeCell ref="G17:H17"/>
    <mergeCell ref="A18:H18"/>
    <mergeCell ref="E19:F19"/>
    <mergeCell ref="E20:F20"/>
    <mergeCell ref="E21:F21"/>
    <mergeCell ref="E22:F22"/>
    <mergeCell ref="A23:H23"/>
    <mergeCell ref="G13:H13"/>
    <mergeCell ref="A1:B3"/>
    <mergeCell ref="C1:F3"/>
    <mergeCell ref="G1:H1"/>
    <mergeCell ref="G2:H2"/>
    <mergeCell ref="G3:H3"/>
    <mergeCell ref="A5:H5"/>
    <mergeCell ref="A8:H8"/>
    <mergeCell ref="A9:H9"/>
    <mergeCell ref="G10:H10"/>
    <mergeCell ref="G11:H11"/>
    <mergeCell ref="G12:H12"/>
  </mergeCells>
  <pageMargins left="0.7" right="0.28000000000000003" top="0.43" bottom="0.46"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2</xdr:col>
                    <xdr:colOff>388620</xdr:colOff>
                    <xdr:row>24</xdr:row>
                    <xdr:rowOff>45720</xdr:rowOff>
                  </from>
                  <to>
                    <xdr:col>2</xdr:col>
                    <xdr:colOff>647700</xdr:colOff>
                    <xdr:row>24</xdr:row>
                    <xdr:rowOff>236220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5</xdr:col>
                    <xdr:colOff>160020</xdr:colOff>
                    <xdr:row>24</xdr:row>
                    <xdr:rowOff>60960</xdr:rowOff>
                  </from>
                  <to>
                    <xdr:col>5</xdr:col>
                    <xdr:colOff>411480</xdr:colOff>
                    <xdr:row>24</xdr:row>
                    <xdr:rowOff>259080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2</xdr:col>
                    <xdr:colOff>388620</xdr:colOff>
                    <xdr:row>25</xdr:row>
                    <xdr:rowOff>7620</xdr:rowOff>
                  </from>
                  <to>
                    <xdr:col>2</xdr:col>
                    <xdr:colOff>640080</xdr:colOff>
                    <xdr:row>25</xdr:row>
                    <xdr:rowOff>198120</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2</xdr:col>
                    <xdr:colOff>403860</xdr:colOff>
                    <xdr:row>26</xdr:row>
                    <xdr:rowOff>7620</xdr:rowOff>
                  </from>
                  <to>
                    <xdr:col>2</xdr:col>
                    <xdr:colOff>655320</xdr:colOff>
                    <xdr:row>27</xdr:row>
                    <xdr:rowOff>0</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2</xdr:col>
                    <xdr:colOff>403860</xdr:colOff>
                    <xdr:row>27</xdr:row>
                    <xdr:rowOff>45720</xdr:rowOff>
                  </from>
                  <to>
                    <xdr:col>2</xdr:col>
                    <xdr:colOff>655320</xdr:colOff>
                    <xdr:row>27</xdr:row>
                    <xdr:rowOff>251460</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5</xdr:col>
                    <xdr:colOff>144780</xdr:colOff>
                    <xdr:row>24</xdr:row>
                    <xdr:rowOff>449580</xdr:rowOff>
                  </from>
                  <to>
                    <xdr:col>5</xdr:col>
                    <xdr:colOff>388620</xdr:colOff>
                    <xdr:row>25</xdr:row>
                    <xdr:rowOff>198120</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5</xdr:col>
                    <xdr:colOff>144780</xdr:colOff>
                    <xdr:row>26</xdr:row>
                    <xdr:rowOff>0</xdr:rowOff>
                  </from>
                  <to>
                    <xdr:col>5</xdr:col>
                    <xdr:colOff>403860</xdr:colOff>
                    <xdr:row>26</xdr:row>
                    <xdr:rowOff>198120</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5</xdr:col>
                    <xdr:colOff>160020</xdr:colOff>
                    <xdr:row>27</xdr:row>
                    <xdr:rowOff>45720</xdr:rowOff>
                  </from>
                  <to>
                    <xdr:col>5</xdr:col>
                    <xdr:colOff>411480</xdr:colOff>
                    <xdr:row>27</xdr:row>
                    <xdr:rowOff>251460</xdr:rowOff>
                  </to>
                </anchor>
              </controlPr>
            </control>
          </mc:Choice>
        </mc:AlternateContent>
        <mc:AlternateContent xmlns:mc="http://schemas.openxmlformats.org/markup-compatibility/2006">
          <mc:Choice Requires="x14">
            <control shapeId="12297" r:id="rId12" name="Check Box 9">
              <controlPr defaultSize="0" autoFill="0" autoLine="0" autoPict="0">
                <anchor moveWithCells="1">
                  <from>
                    <xdr:col>5</xdr:col>
                    <xdr:colOff>160020</xdr:colOff>
                    <xdr:row>28</xdr:row>
                    <xdr:rowOff>45720</xdr:rowOff>
                  </from>
                  <to>
                    <xdr:col>5</xdr:col>
                    <xdr:colOff>411480</xdr:colOff>
                    <xdr:row>28</xdr:row>
                    <xdr:rowOff>251460</xdr:rowOff>
                  </to>
                </anchor>
              </controlPr>
            </control>
          </mc:Choice>
        </mc:AlternateContent>
        <mc:AlternateContent xmlns:mc="http://schemas.openxmlformats.org/markup-compatibility/2006">
          <mc:Choice Requires="x14">
            <control shapeId="12298" r:id="rId13" name="Check Box 10">
              <controlPr defaultSize="0" autoFill="0" autoLine="0" autoPict="0">
                <anchor moveWithCells="1">
                  <from>
                    <xdr:col>2</xdr:col>
                    <xdr:colOff>388620</xdr:colOff>
                    <xdr:row>28</xdr:row>
                    <xdr:rowOff>45720</xdr:rowOff>
                  </from>
                  <to>
                    <xdr:col>2</xdr:col>
                    <xdr:colOff>647700</xdr:colOff>
                    <xdr:row>28</xdr:row>
                    <xdr:rowOff>236220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3917-9B3D-4EFD-B9D2-5BE539DBEDF6}">
  <dimension ref="A1:L24"/>
  <sheetViews>
    <sheetView workbookViewId="0">
      <selection activeCell="E12" sqref="E12"/>
    </sheetView>
  </sheetViews>
  <sheetFormatPr defaultColWidth="9.1796875" defaultRowHeight="13.8"/>
  <cols>
    <col min="1" max="1" width="7.453125" style="209" customWidth="1"/>
    <col min="2" max="2" width="8.6328125" style="209" customWidth="1"/>
    <col min="3" max="3" width="10.6328125" style="209" customWidth="1"/>
    <col min="4" max="4" width="11.6328125" style="209" customWidth="1"/>
    <col min="5" max="5" width="12" style="209" customWidth="1"/>
    <col min="6" max="6" width="10" style="209" customWidth="1"/>
    <col min="7" max="7" width="8.6328125" style="209" customWidth="1"/>
    <col min="8" max="8" width="5.36328125" style="209" customWidth="1"/>
    <col min="9" max="9" width="9.6328125" style="209" customWidth="1"/>
    <col min="10" max="10" width="8.08984375" style="209" customWidth="1"/>
    <col min="11" max="11" width="10.90625" style="209" customWidth="1"/>
    <col min="12" max="12" width="11" style="209" customWidth="1"/>
    <col min="13" max="16384" width="9.1796875" style="202"/>
  </cols>
  <sheetData>
    <row r="1" spans="1:12" ht="14.4" thickBot="1">
      <c r="A1" s="209" t="s">
        <v>607</v>
      </c>
      <c r="D1" s="209" t="s">
        <v>608</v>
      </c>
      <c r="F1" s="209" t="s">
        <v>609</v>
      </c>
      <c r="J1" s="209" t="s">
        <v>610</v>
      </c>
    </row>
    <row r="2" spans="1:12" ht="25.5" customHeight="1">
      <c r="A2" s="422"/>
      <c r="B2" s="423"/>
      <c r="C2" s="428" t="s">
        <v>611</v>
      </c>
      <c r="D2" s="429"/>
      <c r="E2" s="429"/>
      <c r="F2" s="429"/>
      <c r="G2" s="429"/>
      <c r="H2" s="429"/>
      <c r="I2" s="430"/>
      <c r="J2" s="437" t="s">
        <v>612</v>
      </c>
      <c r="K2" s="437"/>
      <c r="L2" s="437"/>
    </row>
    <row r="3" spans="1:12" ht="18.600000000000001" customHeight="1">
      <c r="A3" s="424"/>
      <c r="B3" s="425"/>
      <c r="C3" s="431"/>
      <c r="D3" s="432"/>
      <c r="E3" s="432"/>
      <c r="F3" s="432"/>
      <c r="G3" s="432"/>
      <c r="H3" s="432"/>
      <c r="I3" s="433"/>
      <c r="J3" s="438" t="s">
        <v>568</v>
      </c>
      <c r="K3" s="438"/>
      <c r="L3" s="438"/>
    </row>
    <row r="4" spans="1:12" ht="17.100000000000001" customHeight="1" thickBot="1">
      <c r="A4" s="426"/>
      <c r="B4" s="427"/>
      <c r="C4" s="434"/>
      <c r="D4" s="435"/>
      <c r="E4" s="435"/>
      <c r="F4" s="435"/>
      <c r="G4" s="435"/>
      <c r="H4" s="435"/>
      <c r="I4" s="436"/>
      <c r="J4" s="439" t="s">
        <v>481</v>
      </c>
      <c r="K4" s="439"/>
      <c r="L4" s="439"/>
    </row>
    <row r="5" spans="1:12" ht="28.5" customHeight="1">
      <c r="A5" s="210" t="s">
        <v>613</v>
      </c>
      <c r="B5" s="211"/>
      <c r="C5" s="211"/>
      <c r="D5" s="212"/>
      <c r="E5" s="212"/>
      <c r="F5" s="212"/>
      <c r="G5" s="212"/>
      <c r="H5" s="212"/>
      <c r="I5" s="212"/>
      <c r="J5" s="213"/>
      <c r="K5" s="213"/>
      <c r="L5" s="213"/>
    </row>
    <row r="6" spans="1:12" ht="13.2">
      <c r="A6" s="421" t="s">
        <v>570</v>
      </c>
      <c r="B6" s="421" t="s">
        <v>614</v>
      </c>
      <c r="C6" s="421" t="s">
        <v>615</v>
      </c>
      <c r="D6" s="421" t="s">
        <v>616</v>
      </c>
      <c r="E6" s="421" t="s">
        <v>617</v>
      </c>
      <c r="F6" s="421" t="s">
        <v>618</v>
      </c>
      <c r="G6" s="421" t="s">
        <v>619</v>
      </c>
      <c r="H6" s="421"/>
      <c r="I6" s="421" t="s">
        <v>620</v>
      </c>
      <c r="J6" s="421" t="s">
        <v>621</v>
      </c>
      <c r="K6" s="421"/>
      <c r="L6" s="421" t="s">
        <v>622</v>
      </c>
    </row>
    <row r="7" spans="1:12" ht="30.9" customHeight="1">
      <c r="A7" s="421"/>
      <c r="B7" s="421"/>
      <c r="C7" s="421"/>
      <c r="D7" s="421"/>
      <c r="E7" s="421"/>
      <c r="F7" s="421"/>
      <c r="G7" s="421"/>
      <c r="H7" s="421"/>
      <c r="I7" s="421"/>
      <c r="J7" s="421"/>
      <c r="K7" s="421"/>
      <c r="L7" s="440"/>
    </row>
    <row r="8" spans="1:12" ht="23.4">
      <c r="A8" s="421"/>
      <c r="B8" s="421"/>
      <c r="C8" s="421"/>
      <c r="D8" s="421"/>
      <c r="E8" s="421"/>
      <c r="F8" s="421"/>
      <c r="G8" s="214" t="s">
        <v>578</v>
      </c>
      <c r="H8" s="214" t="s">
        <v>579</v>
      </c>
      <c r="I8" s="421"/>
      <c r="J8" s="214" t="s">
        <v>623</v>
      </c>
      <c r="K8" s="214" t="s">
        <v>624</v>
      </c>
      <c r="L8" s="440"/>
    </row>
    <row r="9" spans="1:12">
      <c r="A9" s="215"/>
      <c r="B9" s="216"/>
      <c r="C9" s="216"/>
      <c r="D9" s="217"/>
      <c r="E9" s="216"/>
      <c r="F9" s="217"/>
      <c r="G9" s="216"/>
      <c r="H9" s="216"/>
      <c r="I9" s="218"/>
      <c r="J9" s="219"/>
      <c r="K9" s="216"/>
      <c r="L9" s="220"/>
    </row>
    <row r="10" spans="1:12">
      <c r="A10" s="215"/>
      <c r="B10" s="216"/>
      <c r="C10" s="216"/>
      <c r="D10" s="217"/>
      <c r="E10" s="216"/>
      <c r="F10" s="217"/>
      <c r="G10" s="216"/>
      <c r="H10" s="216"/>
      <c r="I10" s="218"/>
      <c r="J10" s="219"/>
      <c r="K10" s="216"/>
      <c r="L10" s="216"/>
    </row>
    <row r="11" spans="1:12">
      <c r="A11" s="215"/>
      <c r="B11" s="216"/>
      <c r="C11" s="216"/>
      <c r="D11" s="217"/>
      <c r="E11" s="216"/>
      <c r="F11" s="217"/>
      <c r="G11" s="216"/>
      <c r="H11" s="216"/>
      <c r="I11" s="218"/>
      <c r="J11" s="219"/>
      <c r="K11" s="216"/>
      <c r="L11" s="216"/>
    </row>
    <row r="12" spans="1:12">
      <c r="A12" s="215"/>
      <c r="B12" s="216"/>
      <c r="C12" s="216"/>
      <c r="D12" s="217"/>
      <c r="E12" s="216"/>
      <c r="F12" s="217"/>
      <c r="G12" s="216"/>
      <c r="H12" s="216"/>
      <c r="I12" s="218"/>
      <c r="J12" s="219"/>
      <c r="K12" s="216"/>
      <c r="L12" s="216"/>
    </row>
    <row r="13" spans="1:12">
      <c r="A13" s="215"/>
      <c r="B13" s="216"/>
      <c r="C13" s="216"/>
      <c r="D13" s="217"/>
      <c r="E13" s="216"/>
      <c r="F13" s="217"/>
      <c r="G13" s="216"/>
      <c r="H13" s="216"/>
      <c r="I13" s="218"/>
      <c r="J13" s="219"/>
      <c r="K13" s="216"/>
      <c r="L13" s="216"/>
    </row>
    <row r="14" spans="1:12">
      <c r="A14" s="215"/>
      <c r="B14" s="216"/>
      <c r="C14" s="216"/>
      <c r="D14" s="217"/>
      <c r="E14" s="216"/>
      <c r="F14" s="217"/>
      <c r="G14" s="216"/>
      <c r="H14" s="216"/>
      <c r="I14" s="218"/>
      <c r="J14" s="219"/>
      <c r="K14" s="216"/>
      <c r="L14" s="216"/>
    </row>
    <row r="15" spans="1:12">
      <c r="A15" s="215"/>
      <c r="B15" s="216"/>
      <c r="C15" s="216"/>
      <c r="D15" s="217"/>
      <c r="E15" s="216"/>
      <c r="F15" s="217"/>
      <c r="G15" s="216"/>
      <c r="H15" s="216"/>
      <c r="I15" s="218"/>
      <c r="J15" s="219"/>
      <c r="K15" s="216"/>
      <c r="L15" s="216"/>
    </row>
    <row r="16" spans="1:12">
      <c r="A16" s="215"/>
      <c r="B16" s="216"/>
      <c r="C16" s="216"/>
      <c r="D16" s="217"/>
      <c r="E16" s="216"/>
      <c r="F16" s="217"/>
      <c r="G16" s="216"/>
      <c r="H16" s="216"/>
      <c r="I16" s="218"/>
      <c r="J16" s="219"/>
      <c r="K16" s="216"/>
      <c r="L16" s="216"/>
    </row>
    <row r="17" spans="1:12">
      <c r="A17" s="215"/>
      <c r="B17" s="216"/>
      <c r="C17" s="216"/>
      <c r="D17" s="217"/>
      <c r="E17" s="216"/>
      <c r="F17" s="217"/>
      <c r="G17" s="216"/>
      <c r="H17" s="216"/>
      <c r="I17" s="218"/>
      <c r="J17" s="219"/>
      <c r="K17" s="216"/>
      <c r="L17" s="216"/>
    </row>
    <row r="18" spans="1:12">
      <c r="A18" s="215"/>
      <c r="B18" s="216"/>
      <c r="C18" s="216"/>
      <c r="D18" s="217"/>
      <c r="E18" s="216"/>
      <c r="F18" s="217"/>
      <c r="G18" s="216"/>
      <c r="H18" s="216"/>
      <c r="I18" s="218"/>
      <c r="J18" s="219"/>
      <c r="K18" s="216"/>
      <c r="L18" s="216"/>
    </row>
    <row r="19" spans="1:12">
      <c r="A19" s="215"/>
      <c r="B19" s="216"/>
      <c r="C19" s="216"/>
      <c r="D19" s="217"/>
      <c r="E19" s="216"/>
      <c r="F19" s="217"/>
      <c r="G19" s="216"/>
      <c r="H19" s="216"/>
      <c r="I19" s="218"/>
      <c r="J19" s="219"/>
      <c r="K19" s="216"/>
      <c r="L19" s="216"/>
    </row>
    <row r="21" spans="1:12">
      <c r="A21" s="209" t="s">
        <v>625</v>
      </c>
    </row>
    <row r="22" spans="1:12">
      <c r="A22" s="209" t="s">
        <v>626</v>
      </c>
    </row>
    <row r="23" spans="1:12">
      <c r="A23" s="209" t="s">
        <v>584</v>
      </c>
      <c r="I23" s="209" t="s">
        <v>584</v>
      </c>
    </row>
    <row r="24" spans="1:12">
      <c r="A24" s="209" t="s">
        <v>585</v>
      </c>
      <c r="I24" s="209" t="s">
        <v>586</v>
      </c>
    </row>
  </sheetData>
  <mergeCells count="15">
    <mergeCell ref="F6:F8"/>
    <mergeCell ref="G6:H7"/>
    <mergeCell ref="I6:I8"/>
    <mergeCell ref="J6:K7"/>
    <mergeCell ref="L6:L8"/>
    <mergeCell ref="A2:B4"/>
    <mergeCell ref="C2:I4"/>
    <mergeCell ref="J2:L2"/>
    <mergeCell ref="J3:L3"/>
    <mergeCell ref="J4:L4"/>
    <mergeCell ref="A6:A8"/>
    <mergeCell ref="B6:B8"/>
    <mergeCell ref="C6:C8"/>
    <mergeCell ref="D6:D8"/>
    <mergeCell ref="E6:E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4D84-2E6C-4D57-A5B6-1DE01B8BBB58}">
  <dimension ref="A1:M47"/>
  <sheetViews>
    <sheetView topLeftCell="A8" workbookViewId="0">
      <selection activeCell="E10" sqref="E10"/>
    </sheetView>
  </sheetViews>
  <sheetFormatPr defaultRowHeight="13.2"/>
  <cols>
    <col min="1" max="1" width="6.36328125" style="86" customWidth="1"/>
    <col min="2" max="2" width="17.08984375" style="86" customWidth="1"/>
    <col min="3" max="3" width="15.08984375" style="86" customWidth="1"/>
    <col min="4" max="4" width="5.90625" style="86" customWidth="1"/>
    <col min="5" max="5" width="10.90625" style="86" customWidth="1"/>
    <col min="6" max="6" width="14.36328125" style="86" customWidth="1"/>
    <col min="7" max="7" width="15.453125" style="86" customWidth="1"/>
    <col min="8" max="8" width="17.90625" style="86" customWidth="1"/>
    <col min="9" max="256" width="9.1796875" style="86"/>
    <col min="257" max="257" width="6.36328125" style="86" customWidth="1"/>
    <col min="258" max="258" width="17.08984375" style="86" customWidth="1"/>
    <col min="259" max="259" width="15.08984375" style="86" customWidth="1"/>
    <col min="260" max="260" width="5.90625" style="86" customWidth="1"/>
    <col min="261" max="261" width="10.90625" style="86" customWidth="1"/>
    <col min="262" max="262" width="14.36328125" style="86" customWidth="1"/>
    <col min="263" max="263" width="15.453125" style="86" customWidth="1"/>
    <col min="264" max="264" width="17.90625" style="86" customWidth="1"/>
    <col min="265" max="512" width="9.1796875" style="86"/>
    <col min="513" max="513" width="6.36328125" style="86" customWidth="1"/>
    <col min="514" max="514" width="17.08984375" style="86" customWidth="1"/>
    <col min="515" max="515" width="15.08984375" style="86" customWidth="1"/>
    <col min="516" max="516" width="5.90625" style="86" customWidth="1"/>
    <col min="517" max="517" width="10.90625" style="86" customWidth="1"/>
    <col min="518" max="518" width="14.36328125" style="86" customWidth="1"/>
    <col min="519" max="519" width="15.453125" style="86" customWidth="1"/>
    <col min="520" max="520" width="17.90625" style="86" customWidth="1"/>
    <col min="521" max="768" width="9.1796875" style="86"/>
    <col min="769" max="769" width="6.36328125" style="86" customWidth="1"/>
    <col min="770" max="770" width="17.08984375" style="86" customWidth="1"/>
    <col min="771" max="771" width="15.08984375" style="86" customWidth="1"/>
    <col min="772" max="772" width="5.90625" style="86" customWidth="1"/>
    <col min="773" max="773" width="10.90625" style="86" customWidth="1"/>
    <col min="774" max="774" width="14.36328125" style="86" customWidth="1"/>
    <col min="775" max="775" width="15.453125" style="86" customWidth="1"/>
    <col min="776" max="776" width="17.90625" style="86" customWidth="1"/>
    <col min="777" max="1024" width="9.1796875" style="86"/>
    <col min="1025" max="1025" width="6.36328125" style="86" customWidth="1"/>
    <col min="1026" max="1026" width="17.08984375" style="86" customWidth="1"/>
    <col min="1027" max="1027" width="15.08984375" style="86" customWidth="1"/>
    <col min="1028" max="1028" width="5.90625" style="86" customWidth="1"/>
    <col min="1029" max="1029" width="10.90625" style="86" customWidth="1"/>
    <col min="1030" max="1030" width="14.36328125" style="86" customWidth="1"/>
    <col min="1031" max="1031" width="15.453125" style="86" customWidth="1"/>
    <col min="1032" max="1032" width="17.90625" style="86" customWidth="1"/>
    <col min="1033" max="1280" width="9.1796875" style="86"/>
    <col min="1281" max="1281" width="6.36328125" style="86" customWidth="1"/>
    <col min="1282" max="1282" width="17.08984375" style="86" customWidth="1"/>
    <col min="1283" max="1283" width="15.08984375" style="86" customWidth="1"/>
    <col min="1284" max="1284" width="5.90625" style="86" customWidth="1"/>
    <col min="1285" max="1285" width="10.90625" style="86" customWidth="1"/>
    <col min="1286" max="1286" width="14.36328125" style="86" customWidth="1"/>
    <col min="1287" max="1287" width="15.453125" style="86" customWidth="1"/>
    <col min="1288" max="1288" width="17.90625" style="86" customWidth="1"/>
    <col min="1289" max="1536" width="9.1796875" style="86"/>
    <col min="1537" max="1537" width="6.36328125" style="86" customWidth="1"/>
    <col min="1538" max="1538" width="17.08984375" style="86" customWidth="1"/>
    <col min="1539" max="1539" width="15.08984375" style="86" customWidth="1"/>
    <col min="1540" max="1540" width="5.90625" style="86" customWidth="1"/>
    <col min="1541" max="1541" width="10.90625" style="86" customWidth="1"/>
    <col min="1542" max="1542" width="14.36328125" style="86" customWidth="1"/>
    <col min="1543" max="1543" width="15.453125" style="86" customWidth="1"/>
    <col min="1544" max="1544" width="17.90625" style="86" customWidth="1"/>
    <col min="1545" max="1792" width="9.1796875" style="86"/>
    <col min="1793" max="1793" width="6.36328125" style="86" customWidth="1"/>
    <col min="1794" max="1794" width="17.08984375" style="86" customWidth="1"/>
    <col min="1795" max="1795" width="15.08984375" style="86" customWidth="1"/>
    <col min="1796" max="1796" width="5.90625" style="86" customWidth="1"/>
    <col min="1797" max="1797" width="10.90625" style="86" customWidth="1"/>
    <col min="1798" max="1798" width="14.36328125" style="86" customWidth="1"/>
    <col min="1799" max="1799" width="15.453125" style="86" customWidth="1"/>
    <col min="1800" max="1800" width="17.90625" style="86" customWidth="1"/>
    <col min="1801" max="2048" width="9.1796875" style="86"/>
    <col min="2049" max="2049" width="6.36328125" style="86" customWidth="1"/>
    <col min="2050" max="2050" width="17.08984375" style="86" customWidth="1"/>
    <col min="2051" max="2051" width="15.08984375" style="86" customWidth="1"/>
    <col min="2052" max="2052" width="5.90625" style="86" customWidth="1"/>
    <col min="2053" max="2053" width="10.90625" style="86" customWidth="1"/>
    <col min="2054" max="2054" width="14.36328125" style="86" customWidth="1"/>
    <col min="2055" max="2055" width="15.453125" style="86" customWidth="1"/>
    <col min="2056" max="2056" width="17.90625" style="86" customWidth="1"/>
    <col min="2057" max="2304" width="9.1796875" style="86"/>
    <col min="2305" max="2305" width="6.36328125" style="86" customWidth="1"/>
    <col min="2306" max="2306" width="17.08984375" style="86" customWidth="1"/>
    <col min="2307" max="2307" width="15.08984375" style="86" customWidth="1"/>
    <col min="2308" max="2308" width="5.90625" style="86" customWidth="1"/>
    <col min="2309" max="2309" width="10.90625" style="86" customWidth="1"/>
    <col min="2310" max="2310" width="14.36328125" style="86" customWidth="1"/>
    <col min="2311" max="2311" width="15.453125" style="86" customWidth="1"/>
    <col min="2312" max="2312" width="17.90625" style="86" customWidth="1"/>
    <col min="2313" max="2560" width="9.1796875" style="86"/>
    <col min="2561" max="2561" width="6.36328125" style="86" customWidth="1"/>
    <col min="2562" max="2562" width="17.08984375" style="86" customWidth="1"/>
    <col min="2563" max="2563" width="15.08984375" style="86" customWidth="1"/>
    <col min="2564" max="2564" width="5.90625" style="86" customWidth="1"/>
    <col min="2565" max="2565" width="10.90625" style="86" customWidth="1"/>
    <col min="2566" max="2566" width="14.36328125" style="86" customWidth="1"/>
    <col min="2567" max="2567" width="15.453125" style="86" customWidth="1"/>
    <col min="2568" max="2568" width="17.90625" style="86" customWidth="1"/>
    <col min="2569" max="2816" width="9.1796875" style="86"/>
    <col min="2817" max="2817" width="6.36328125" style="86" customWidth="1"/>
    <col min="2818" max="2818" width="17.08984375" style="86" customWidth="1"/>
    <col min="2819" max="2819" width="15.08984375" style="86" customWidth="1"/>
    <col min="2820" max="2820" width="5.90625" style="86" customWidth="1"/>
    <col min="2821" max="2821" width="10.90625" style="86" customWidth="1"/>
    <col min="2822" max="2822" width="14.36328125" style="86" customWidth="1"/>
    <col min="2823" max="2823" width="15.453125" style="86" customWidth="1"/>
    <col min="2824" max="2824" width="17.90625" style="86" customWidth="1"/>
    <col min="2825" max="3072" width="9.1796875" style="86"/>
    <col min="3073" max="3073" width="6.36328125" style="86" customWidth="1"/>
    <col min="3074" max="3074" width="17.08984375" style="86" customWidth="1"/>
    <col min="3075" max="3075" width="15.08984375" style="86" customWidth="1"/>
    <col min="3076" max="3076" width="5.90625" style="86" customWidth="1"/>
    <col min="3077" max="3077" width="10.90625" style="86" customWidth="1"/>
    <col min="3078" max="3078" width="14.36328125" style="86" customWidth="1"/>
    <col min="3079" max="3079" width="15.453125" style="86" customWidth="1"/>
    <col min="3080" max="3080" width="17.90625" style="86" customWidth="1"/>
    <col min="3081" max="3328" width="9.1796875" style="86"/>
    <col min="3329" max="3329" width="6.36328125" style="86" customWidth="1"/>
    <col min="3330" max="3330" width="17.08984375" style="86" customWidth="1"/>
    <col min="3331" max="3331" width="15.08984375" style="86" customWidth="1"/>
    <col min="3332" max="3332" width="5.90625" style="86" customWidth="1"/>
    <col min="3333" max="3333" width="10.90625" style="86" customWidth="1"/>
    <col min="3334" max="3334" width="14.36328125" style="86" customWidth="1"/>
    <col min="3335" max="3335" width="15.453125" style="86" customWidth="1"/>
    <col min="3336" max="3336" width="17.90625" style="86" customWidth="1"/>
    <col min="3337" max="3584" width="9.1796875" style="86"/>
    <col min="3585" max="3585" width="6.36328125" style="86" customWidth="1"/>
    <col min="3586" max="3586" width="17.08984375" style="86" customWidth="1"/>
    <col min="3587" max="3587" width="15.08984375" style="86" customWidth="1"/>
    <col min="3588" max="3588" width="5.90625" style="86" customWidth="1"/>
    <col min="3589" max="3589" width="10.90625" style="86" customWidth="1"/>
    <col min="3590" max="3590" width="14.36328125" style="86" customWidth="1"/>
    <col min="3591" max="3591" width="15.453125" style="86" customWidth="1"/>
    <col min="3592" max="3592" width="17.90625" style="86" customWidth="1"/>
    <col min="3593" max="3840" width="9.1796875" style="86"/>
    <col min="3841" max="3841" width="6.36328125" style="86" customWidth="1"/>
    <col min="3842" max="3842" width="17.08984375" style="86" customWidth="1"/>
    <col min="3843" max="3843" width="15.08984375" style="86" customWidth="1"/>
    <col min="3844" max="3844" width="5.90625" style="86" customWidth="1"/>
    <col min="3845" max="3845" width="10.90625" style="86" customWidth="1"/>
    <col min="3846" max="3846" width="14.36328125" style="86" customWidth="1"/>
    <col min="3847" max="3847" width="15.453125" style="86" customWidth="1"/>
    <col min="3848" max="3848" width="17.90625" style="86" customWidth="1"/>
    <col min="3849" max="4096" width="9.1796875" style="86"/>
    <col min="4097" max="4097" width="6.36328125" style="86" customWidth="1"/>
    <col min="4098" max="4098" width="17.08984375" style="86" customWidth="1"/>
    <col min="4099" max="4099" width="15.08984375" style="86" customWidth="1"/>
    <col min="4100" max="4100" width="5.90625" style="86" customWidth="1"/>
    <col min="4101" max="4101" width="10.90625" style="86" customWidth="1"/>
    <col min="4102" max="4102" width="14.36328125" style="86" customWidth="1"/>
    <col min="4103" max="4103" width="15.453125" style="86" customWidth="1"/>
    <col min="4104" max="4104" width="17.90625" style="86" customWidth="1"/>
    <col min="4105" max="4352" width="9.1796875" style="86"/>
    <col min="4353" max="4353" width="6.36328125" style="86" customWidth="1"/>
    <col min="4354" max="4354" width="17.08984375" style="86" customWidth="1"/>
    <col min="4355" max="4355" width="15.08984375" style="86" customWidth="1"/>
    <col min="4356" max="4356" width="5.90625" style="86" customWidth="1"/>
    <col min="4357" max="4357" width="10.90625" style="86" customWidth="1"/>
    <col min="4358" max="4358" width="14.36328125" style="86" customWidth="1"/>
    <col min="4359" max="4359" width="15.453125" style="86" customWidth="1"/>
    <col min="4360" max="4360" width="17.90625" style="86" customWidth="1"/>
    <col min="4361" max="4608" width="9.1796875" style="86"/>
    <col min="4609" max="4609" width="6.36328125" style="86" customWidth="1"/>
    <col min="4610" max="4610" width="17.08984375" style="86" customWidth="1"/>
    <col min="4611" max="4611" width="15.08984375" style="86" customWidth="1"/>
    <col min="4612" max="4612" width="5.90625" style="86" customWidth="1"/>
    <col min="4613" max="4613" width="10.90625" style="86" customWidth="1"/>
    <col min="4614" max="4614" width="14.36328125" style="86" customWidth="1"/>
    <col min="4615" max="4615" width="15.453125" style="86" customWidth="1"/>
    <col min="4616" max="4616" width="17.90625" style="86" customWidth="1"/>
    <col min="4617" max="4864" width="9.1796875" style="86"/>
    <col min="4865" max="4865" width="6.36328125" style="86" customWidth="1"/>
    <col min="4866" max="4866" width="17.08984375" style="86" customWidth="1"/>
    <col min="4867" max="4867" width="15.08984375" style="86" customWidth="1"/>
    <col min="4868" max="4868" width="5.90625" style="86" customWidth="1"/>
    <col min="4869" max="4869" width="10.90625" style="86" customWidth="1"/>
    <col min="4870" max="4870" width="14.36328125" style="86" customWidth="1"/>
    <col min="4871" max="4871" width="15.453125" style="86" customWidth="1"/>
    <col min="4872" max="4872" width="17.90625" style="86" customWidth="1"/>
    <col min="4873" max="5120" width="9.1796875" style="86"/>
    <col min="5121" max="5121" width="6.36328125" style="86" customWidth="1"/>
    <col min="5122" max="5122" width="17.08984375" style="86" customWidth="1"/>
    <col min="5123" max="5123" width="15.08984375" style="86" customWidth="1"/>
    <col min="5124" max="5124" width="5.90625" style="86" customWidth="1"/>
    <col min="5125" max="5125" width="10.90625" style="86" customWidth="1"/>
    <col min="5126" max="5126" width="14.36328125" style="86" customWidth="1"/>
    <col min="5127" max="5127" width="15.453125" style="86" customWidth="1"/>
    <col min="5128" max="5128" width="17.90625" style="86" customWidth="1"/>
    <col min="5129" max="5376" width="9.1796875" style="86"/>
    <col min="5377" max="5377" width="6.36328125" style="86" customWidth="1"/>
    <col min="5378" max="5378" width="17.08984375" style="86" customWidth="1"/>
    <col min="5379" max="5379" width="15.08984375" style="86" customWidth="1"/>
    <col min="5380" max="5380" width="5.90625" style="86" customWidth="1"/>
    <col min="5381" max="5381" width="10.90625" style="86" customWidth="1"/>
    <col min="5382" max="5382" width="14.36328125" style="86" customWidth="1"/>
    <col min="5383" max="5383" width="15.453125" style="86" customWidth="1"/>
    <col min="5384" max="5384" width="17.90625" style="86" customWidth="1"/>
    <col min="5385" max="5632" width="9.1796875" style="86"/>
    <col min="5633" max="5633" width="6.36328125" style="86" customWidth="1"/>
    <col min="5634" max="5634" width="17.08984375" style="86" customWidth="1"/>
    <col min="5635" max="5635" width="15.08984375" style="86" customWidth="1"/>
    <col min="5636" max="5636" width="5.90625" style="86" customWidth="1"/>
    <col min="5637" max="5637" width="10.90625" style="86" customWidth="1"/>
    <col min="5638" max="5638" width="14.36328125" style="86" customWidth="1"/>
    <col min="5639" max="5639" width="15.453125" style="86" customWidth="1"/>
    <col min="5640" max="5640" width="17.90625" style="86" customWidth="1"/>
    <col min="5641" max="5888" width="9.1796875" style="86"/>
    <col min="5889" max="5889" width="6.36328125" style="86" customWidth="1"/>
    <col min="5890" max="5890" width="17.08984375" style="86" customWidth="1"/>
    <col min="5891" max="5891" width="15.08984375" style="86" customWidth="1"/>
    <col min="5892" max="5892" width="5.90625" style="86" customWidth="1"/>
    <col min="5893" max="5893" width="10.90625" style="86" customWidth="1"/>
    <col min="5894" max="5894" width="14.36328125" style="86" customWidth="1"/>
    <col min="5895" max="5895" width="15.453125" style="86" customWidth="1"/>
    <col min="5896" max="5896" width="17.90625" style="86" customWidth="1"/>
    <col min="5897" max="6144" width="9.1796875" style="86"/>
    <col min="6145" max="6145" width="6.36328125" style="86" customWidth="1"/>
    <col min="6146" max="6146" width="17.08984375" style="86" customWidth="1"/>
    <col min="6147" max="6147" width="15.08984375" style="86" customWidth="1"/>
    <col min="6148" max="6148" width="5.90625" style="86" customWidth="1"/>
    <col min="6149" max="6149" width="10.90625" style="86" customWidth="1"/>
    <col min="6150" max="6150" width="14.36328125" style="86" customWidth="1"/>
    <col min="6151" max="6151" width="15.453125" style="86" customWidth="1"/>
    <col min="6152" max="6152" width="17.90625" style="86" customWidth="1"/>
    <col min="6153" max="6400" width="9.1796875" style="86"/>
    <col min="6401" max="6401" width="6.36328125" style="86" customWidth="1"/>
    <col min="6402" max="6402" width="17.08984375" style="86" customWidth="1"/>
    <col min="6403" max="6403" width="15.08984375" style="86" customWidth="1"/>
    <col min="6404" max="6404" width="5.90625" style="86" customWidth="1"/>
    <col min="6405" max="6405" width="10.90625" style="86" customWidth="1"/>
    <col min="6406" max="6406" width="14.36328125" style="86" customWidth="1"/>
    <col min="6407" max="6407" width="15.453125" style="86" customWidth="1"/>
    <col min="6408" max="6408" width="17.90625" style="86" customWidth="1"/>
    <col min="6409" max="6656" width="9.1796875" style="86"/>
    <col min="6657" max="6657" width="6.36328125" style="86" customWidth="1"/>
    <col min="6658" max="6658" width="17.08984375" style="86" customWidth="1"/>
    <col min="6659" max="6659" width="15.08984375" style="86" customWidth="1"/>
    <col min="6660" max="6660" width="5.90625" style="86" customWidth="1"/>
    <col min="6661" max="6661" width="10.90625" style="86" customWidth="1"/>
    <col min="6662" max="6662" width="14.36328125" style="86" customWidth="1"/>
    <col min="6663" max="6663" width="15.453125" style="86" customWidth="1"/>
    <col min="6664" max="6664" width="17.90625" style="86" customWidth="1"/>
    <col min="6665" max="6912" width="9.1796875" style="86"/>
    <col min="6913" max="6913" width="6.36328125" style="86" customWidth="1"/>
    <col min="6914" max="6914" width="17.08984375" style="86" customWidth="1"/>
    <col min="6915" max="6915" width="15.08984375" style="86" customWidth="1"/>
    <col min="6916" max="6916" width="5.90625" style="86" customWidth="1"/>
    <col min="6917" max="6917" width="10.90625" style="86" customWidth="1"/>
    <col min="6918" max="6918" width="14.36328125" style="86" customWidth="1"/>
    <col min="6919" max="6919" width="15.453125" style="86" customWidth="1"/>
    <col min="6920" max="6920" width="17.90625" style="86" customWidth="1"/>
    <col min="6921" max="7168" width="9.1796875" style="86"/>
    <col min="7169" max="7169" width="6.36328125" style="86" customWidth="1"/>
    <col min="7170" max="7170" width="17.08984375" style="86" customWidth="1"/>
    <col min="7171" max="7171" width="15.08984375" style="86" customWidth="1"/>
    <col min="7172" max="7172" width="5.90625" style="86" customWidth="1"/>
    <col min="7173" max="7173" width="10.90625" style="86" customWidth="1"/>
    <col min="7174" max="7174" width="14.36328125" style="86" customWidth="1"/>
    <col min="7175" max="7175" width="15.453125" style="86" customWidth="1"/>
    <col min="7176" max="7176" width="17.90625" style="86" customWidth="1"/>
    <col min="7177" max="7424" width="9.1796875" style="86"/>
    <col min="7425" max="7425" width="6.36328125" style="86" customWidth="1"/>
    <col min="7426" max="7426" width="17.08984375" style="86" customWidth="1"/>
    <col min="7427" max="7427" width="15.08984375" style="86" customWidth="1"/>
    <col min="7428" max="7428" width="5.90625" style="86" customWidth="1"/>
    <col min="7429" max="7429" width="10.90625" style="86" customWidth="1"/>
    <col min="7430" max="7430" width="14.36328125" style="86" customWidth="1"/>
    <col min="7431" max="7431" width="15.453125" style="86" customWidth="1"/>
    <col min="7432" max="7432" width="17.90625" style="86" customWidth="1"/>
    <col min="7433" max="7680" width="9.1796875" style="86"/>
    <col min="7681" max="7681" width="6.36328125" style="86" customWidth="1"/>
    <col min="7682" max="7682" width="17.08984375" style="86" customWidth="1"/>
    <col min="7683" max="7683" width="15.08984375" style="86" customWidth="1"/>
    <col min="7684" max="7684" width="5.90625" style="86" customWidth="1"/>
    <col min="7685" max="7685" width="10.90625" style="86" customWidth="1"/>
    <col min="7686" max="7686" width="14.36328125" style="86" customWidth="1"/>
    <col min="7687" max="7687" width="15.453125" style="86" customWidth="1"/>
    <col min="7688" max="7688" width="17.90625" style="86" customWidth="1"/>
    <col min="7689" max="7936" width="9.1796875" style="86"/>
    <col min="7937" max="7937" width="6.36328125" style="86" customWidth="1"/>
    <col min="7938" max="7938" width="17.08984375" style="86" customWidth="1"/>
    <col min="7939" max="7939" width="15.08984375" style="86" customWidth="1"/>
    <col min="7940" max="7940" width="5.90625" style="86" customWidth="1"/>
    <col min="7941" max="7941" width="10.90625" style="86" customWidth="1"/>
    <col min="7942" max="7942" width="14.36328125" style="86" customWidth="1"/>
    <col min="7943" max="7943" width="15.453125" style="86" customWidth="1"/>
    <col min="7944" max="7944" width="17.90625" style="86" customWidth="1"/>
    <col min="7945" max="8192" width="9.1796875" style="86"/>
    <col min="8193" max="8193" width="6.36328125" style="86" customWidth="1"/>
    <col min="8194" max="8194" width="17.08984375" style="86" customWidth="1"/>
    <col min="8195" max="8195" width="15.08984375" style="86" customWidth="1"/>
    <col min="8196" max="8196" width="5.90625" style="86" customWidth="1"/>
    <col min="8197" max="8197" width="10.90625" style="86" customWidth="1"/>
    <col min="8198" max="8198" width="14.36328125" style="86" customWidth="1"/>
    <col min="8199" max="8199" width="15.453125" style="86" customWidth="1"/>
    <col min="8200" max="8200" width="17.90625" style="86" customWidth="1"/>
    <col min="8201" max="8448" width="9.1796875" style="86"/>
    <col min="8449" max="8449" width="6.36328125" style="86" customWidth="1"/>
    <col min="8450" max="8450" width="17.08984375" style="86" customWidth="1"/>
    <col min="8451" max="8451" width="15.08984375" style="86" customWidth="1"/>
    <col min="8452" max="8452" width="5.90625" style="86" customWidth="1"/>
    <col min="8453" max="8453" width="10.90625" style="86" customWidth="1"/>
    <col min="8454" max="8454" width="14.36328125" style="86" customWidth="1"/>
    <col min="8455" max="8455" width="15.453125" style="86" customWidth="1"/>
    <col min="8456" max="8456" width="17.90625" style="86" customWidth="1"/>
    <col min="8457" max="8704" width="9.1796875" style="86"/>
    <col min="8705" max="8705" width="6.36328125" style="86" customWidth="1"/>
    <col min="8706" max="8706" width="17.08984375" style="86" customWidth="1"/>
    <col min="8707" max="8707" width="15.08984375" style="86" customWidth="1"/>
    <col min="8708" max="8708" width="5.90625" style="86" customWidth="1"/>
    <col min="8709" max="8709" width="10.90625" style="86" customWidth="1"/>
    <col min="8710" max="8710" width="14.36328125" style="86" customWidth="1"/>
    <col min="8711" max="8711" width="15.453125" style="86" customWidth="1"/>
    <col min="8712" max="8712" width="17.90625" style="86" customWidth="1"/>
    <col min="8713" max="8960" width="9.1796875" style="86"/>
    <col min="8961" max="8961" width="6.36328125" style="86" customWidth="1"/>
    <col min="8962" max="8962" width="17.08984375" style="86" customWidth="1"/>
    <col min="8963" max="8963" width="15.08984375" style="86" customWidth="1"/>
    <col min="8964" max="8964" width="5.90625" style="86" customWidth="1"/>
    <col min="8965" max="8965" width="10.90625" style="86" customWidth="1"/>
    <col min="8966" max="8966" width="14.36328125" style="86" customWidth="1"/>
    <col min="8967" max="8967" width="15.453125" style="86" customWidth="1"/>
    <col min="8968" max="8968" width="17.90625" style="86" customWidth="1"/>
    <col min="8969" max="9216" width="9.1796875" style="86"/>
    <col min="9217" max="9217" width="6.36328125" style="86" customWidth="1"/>
    <col min="9218" max="9218" width="17.08984375" style="86" customWidth="1"/>
    <col min="9219" max="9219" width="15.08984375" style="86" customWidth="1"/>
    <col min="9220" max="9220" width="5.90625" style="86" customWidth="1"/>
    <col min="9221" max="9221" width="10.90625" style="86" customWidth="1"/>
    <col min="9222" max="9222" width="14.36328125" style="86" customWidth="1"/>
    <col min="9223" max="9223" width="15.453125" style="86" customWidth="1"/>
    <col min="9224" max="9224" width="17.90625" style="86" customWidth="1"/>
    <col min="9225" max="9472" width="9.1796875" style="86"/>
    <col min="9473" max="9473" width="6.36328125" style="86" customWidth="1"/>
    <col min="9474" max="9474" width="17.08984375" style="86" customWidth="1"/>
    <col min="9475" max="9475" width="15.08984375" style="86" customWidth="1"/>
    <col min="9476" max="9476" width="5.90625" style="86" customWidth="1"/>
    <col min="9477" max="9477" width="10.90625" style="86" customWidth="1"/>
    <col min="9478" max="9478" width="14.36328125" style="86" customWidth="1"/>
    <col min="9479" max="9479" width="15.453125" style="86" customWidth="1"/>
    <col min="9480" max="9480" width="17.90625" style="86" customWidth="1"/>
    <col min="9481" max="9728" width="9.1796875" style="86"/>
    <col min="9729" max="9729" width="6.36328125" style="86" customWidth="1"/>
    <col min="9730" max="9730" width="17.08984375" style="86" customWidth="1"/>
    <col min="9731" max="9731" width="15.08984375" style="86" customWidth="1"/>
    <col min="9732" max="9732" width="5.90625" style="86" customWidth="1"/>
    <col min="9733" max="9733" width="10.90625" style="86" customWidth="1"/>
    <col min="9734" max="9734" width="14.36328125" style="86" customWidth="1"/>
    <col min="9735" max="9735" width="15.453125" style="86" customWidth="1"/>
    <col min="9736" max="9736" width="17.90625" style="86" customWidth="1"/>
    <col min="9737" max="9984" width="9.1796875" style="86"/>
    <col min="9985" max="9985" width="6.36328125" style="86" customWidth="1"/>
    <col min="9986" max="9986" width="17.08984375" style="86" customWidth="1"/>
    <col min="9987" max="9987" width="15.08984375" style="86" customWidth="1"/>
    <col min="9988" max="9988" width="5.90625" style="86" customWidth="1"/>
    <col min="9989" max="9989" width="10.90625" style="86" customWidth="1"/>
    <col min="9990" max="9990" width="14.36328125" style="86" customWidth="1"/>
    <col min="9991" max="9991" width="15.453125" style="86" customWidth="1"/>
    <col min="9992" max="9992" width="17.90625" style="86" customWidth="1"/>
    <col min="9993" max="10240" width="9.1796875" style="86"/>
    <col min="10241" max="10241" width="6.36328125" style="86" customWidth="1"/>
    <col min="10242" max="10242" width="17.08984375" style="86" customWidth="1"/>
    <col min="10243" max="10243" width="15.08984375" style="86" customWidth="1"/>
    <col min="10244" max="10244" width="5.90625" style="86" customWidth="1"/>
    <col min="10245" max="10245" width="10.90625" style="86" customWidth="1"/>
    <col min="10246" max="10246" width="14.36328125" style="86" customWidth="1"/>
    <col min="10247" max="10247" width="15.453125" style="86" customWidth="1"/>
    <col min="10248" max="10248" width="17.90625" style="86" customWidth="1"/>
    <col min="10249" max="10496" width="9.1796875" style="86"/>
    <col min="10497" max="10497" width="6.36328125" style="86" customWidth="1"/>
    <col min="10498" max="10498" width="17.08984375" style="86" customWidth="1"/>
    <col min="10499" max="10499" width="15.08984375" style="86" customWidth="1"/>
    <col min="10500" max="10500" width="5.90625" style="86" customWidth="1"/>
    <col min="10501" max="10501" width="10.90625" style="86" customWidth="1"/>
    <col min="10502" max="10502" width="14.36328125" style="86" customWidth="1"/>
    <col min="10503" max="10503" width="15.453125" style="86" customWidth="1"/>
    <col min="10504" max="10504" width="17.90625" style="86" customWidth="1"/>
    <col min="10505" max="10752" width="9.1796875" style="86"/>
    <col min="10753" max="10753" width="6.36328125" style="86" customWidth="1"/>
    <col min="10754" max="10754" width="17.08984375" style="86" customWidth="1"/>
    <col min="10755" max="10755" width="15.08984375" style="86" customWidth="1"/>
    <col min="10756" max="10756" width="5.90625" style="86" customWidth="1"/>
    <col min="10757" max="10757" width="10.90625" style="86" customWidth="1"/>
    <col min="10758" max="10758" width="14.36328125" style="86" customWidth="1"/>
    <col min="10759" max="10759" width="15.453125" style="86" customWidth="1"/>
    <col min="10760" max="10760" width="17.90625" style="86" customWidth="1"/>
    <col min="10761" max="11008" width="9.1796875" style="86"/>
    <col min="11009" max="11009" width="6.36328125" style="86" customWidth="1"/>
    <col min="11010" max="11010" width="17.08984375" style="86" customWidth="1"/>
    <col min="11011" max="11011" width="15.08984375" style="86" customWidth="1"/>
    <col min="11012" max="11012" width="5.90625" style="86" customWidth="1"/>
    <col min="11013" max="11013" width="10.90625" style="86" customWidth="1"/>
    <col min="11014" max="11014" width="14.36328125" style="86" customWidth="1"/>
    <col min="11015" max="11015" width="15.453125" style="86" customWidth="1"/>
    <col min="11016" max="11016" width="17.90625" style="86" customWidth="1"/>
    <col min="11017" max="11264" width="9.1796875" style="86"/>
    <col min="11265" max="11265" width="6.36328125" style="86" customWidth="1"/>
    <col min="11266" max="11266" width="17.08984375" style="86" customWidth="1"/>
    <col min="11267" max="11267" width="15.08984375" style="86" customWidth="1"/>
    <col min="11268" max="11268" width="5.90625" style="86" customWidth="1"/>
    <col min="11269" max="11269" width="10.90625" style="86" customWidth="1"/>
    <col min="11270" max="11270" width="14.36328125" style="86" customWidth="1"/>
    <col min="11271" max="11271" width="15.453125" style="86" customWidth="1"/>
    <col min="11272" max="11272" width="17.90625" style="86" customWidth="1"/>
    <col min="11273" max="11520" width="9.1796875" style="86"/>
    <col min="11521" max="11521" width="6.36328125" style="86" customWidth="1"/>
    <col min="11522" max="11522" width="17.08984375" style="86" customWidth="1"/>
    <col min="11523" max="11523" width="15.08984375" style="86" customWidth="1"/>
    <col min="11524" max="11524" width="5.90625" style="86" customWidth="1"/>
    <col min="11525" max="11525" width="10.90625" style="86" customWidth="1"/>
    <col min="11526" max="11526" width="14.36328125" style="86" customWidth="1"/>
    <col min="11527" max="11527" width="15.453125" style="86" customWidth="1"/>
    <col min="11528" max="11528" width="17.90625" style="86" customWidth="1"/>
    <col min="11529" max="11776" width="9.1796875" style="86"/>
    <col min="11777" max="11777" width="6.36328125" style="86" customWidth="1"/>
    <col min="11778" max="11778" width="17.08984375" style="86" customWidth="1"/>
    <col min="11779" max="11779" width="15.08984375" style="86" customWidth="1"/>
    <col min="11780" max="11780" width="5.90625" style="86" customWidth="1"/>
    <col min="11781" max="11781" width="10.90625" style="86" customWidth="1"/>
    <col min="11782" max="11782" width="14.36328125" style="86" customWidth="1"/>
    <col min="11783" max="11783" width="15.453125" style="86" customWidth="1"/>
    <col min="11784" max="11784" width="17.90625" style="86" customWidth="1"/>
    <col min="11785" max="12032" width="9.1796875" style="86"/>
    <col min="12033" max="12033" width="6.36328125" style="86" customWidth="1"/>
    <col min="12034" max="12034" width="17.08984375" style="86" customWidth="1"/>
    <col min="12035" max="12035" width="15.08984375" style="86" customWidth="1"/>
    <col min="12036" max="12036" width="5.90625" style="86" customWidth="1"/>
    <col min="12037" max="12037" width="10.90625" style="86" customWidth="1"/>
    <col min="12038" max="12038" width="14.36328125" style="86" customWidth="1"/>
    <col min="12039" max="12039" width="15.453125" style="86" customWidth="1"/>
    <col min="12040" max="12040" width="17.90625" style="86" customWidth="1"/>
    <col min="12041" max="12288" width="9.1796875" style="86"/>
    <col min="12289" max="12289" width="6.36328125" style="86" customWidth="1"/>
    <col min="12290" max="12290" width="17.08984375" style="86" customWidth="1"/>
    <col min="12291" max="12291" width="15.08984375" style="86" customWidth="1"/>
    <col min="12292" max="12292" width="5.90625" style="86" customWidth="1"/>
    <col min="12293" max="12293" width="10.90625" style="86" customWidth="1"/>
    <col min="12294" max="12294" width="14.36328125" style="86" customWidth="1"/>
    <col min="12295" max="12295" width="15.453125" style="86" customWidth="1"/>
    <col min="12296" max="12296" width="17.90625" style="86" customWidth="1"/>
    <col min="12297" max="12544" width="9.1796875" style="86"/>
    <col min="12545" max="12545" width="6.36328125" style="86" customWidth="1"/>
    <col min="12546" max="12546" width="17.08984375" style="86" customWidth="1"/>
    <col min="12547" max="12547" width="15.08984375" style="86" customWidth="1"/>
    <col min="12548" max="12548" width="5.90625" style="86" customWidth="1"/>
    <col min="12549" max="12549" width="10.90625" style="86" customWidth="1"/>
    <col min="12550" max="12550" width="14.36328125" style="86" customWidth="1"/>
    <col min="12551" max="12551" width="15.453125" style="86" customWidth="1"/>
    <col min="12552" max="12552" width="17.90625" style="86" customWidth="1"/>
    <col min="12553" max="12800" width="9.1796875" style="86"/>
    <col min="12801" max="12801" width="6.36328125" style="86" customWidth="1"/>
    <col min="12802" max="12802" width="17.08984375" style="86" customWidth="1"/>
    <col min="12803" max="12803" width="15.08984375" style="86" customWidth="1"/>
    <col min="12804" max="12804" width="5.90625" style="86" customWidth="1"/>
    <col min="12805" max="12805" width="10.90625" style="86" customWidth="1"/>
    <col min="12806" max="12806" width="14.36328125" style="86" customWidth="1"/>
    <col min="12807" max="12807" width="15.453125" style="86" customWidth="1"/>
    <col min="12808" max="12808" width="17.90625" style="86" customWidth="1"/>
    <col min="12809" max="13056" width="9.1796875" style="86"/>
    <col min="13057" max="13057" width="6.36328125" style="86" customWidth="1"/>
    <col min="13058" max="13058" width="17.08984375" style="86" customWidth="1"/>
    <col min="13059" max="13059" width="15.08984375" style="86" customWidth="1"/>
    <col min="13060" max="13060" width="5.90625" style="86" customWidth="1"/>
    <col min="13061" max="13061" width="10.90625" style="86" customWidth="1"/>
    <col min="13062" max="13062" width="14.36328125" style="86" customWidth="1"/>
    <col min="13063" max="13063" width="15.453125" style="86" customWidth="1"/>
    <col min="13064" max="13064" width="17.90625" style="86" customWidth="1"/>
    <col min="13065" max="13312" width="9.1796875" style="86"/>
    <col min="13313" max="13313" width="6.36328125" style="86" customWidth="1"/>
    <col min="13314" max="13314" width="17.08984375" style="86" customWidth="1"/>
    <col min="13315" max="13315" width="15.08984375" style="86" customWidth="1"/>
    <col min="13316" max="13316" width="5.90625" style="86" customWidth="1"/>
    <col min="13317" max="13317" width="10.90625" style="86" customWidth="1"/>
    <col min="13318" max="13318" width="14.36328125" style="86" customWidth="1"/>
    <col min="13319" max="13319" width="15.453125" style="86" customWidth="1"/>
    <col min="13320" max="13320" width="17.90625" style="86" customWidth="1"/>
    <col min="13321" max="13568" width="9.1796875" style="86"/>
    <col min="13569" max="13569" width="6.36328125" style="86" customWidth="1"/>
    <col min="13570" max="13570" width="17.08984375" style="86" customWidth="1"/>
    <col min="13571" max="13571" width="15.08984375" style="86" customWidth="1"/>
    <col min="13572" max="13572" width="5.90625" style="86" customWidth="1"/>
    <col min="13573" max="13573" width="10.90625" style="86" customWidth="1"/>
    <col min="13574" max="13574" width="14.36328125" style="86" customWidth="1"/>
    <col min="13575" max="13575" width="15.453125" style="86" customWidth="1"/>
    <col min="13576" max="13576" width="17.90625" style="86" customWidth="1"/>
    <col min="13577" max="13824" width="9.1796875" style="86"/>
    <col min="13825" max="13825" width="6.36328125" style="86" customWidth="1"/>
    <col min="13826" max="13826" width="17.08984375" style="86" customWidth="1"/>
    <col min="13827" max="13827" width="15.08984375" style="86" customWidth="1"/>
    <col min="13828" max="13828" width="5.90625" style="86" customWidth="1"/>
    <col min="13829" max="13829" width="10.90625" style="86" customWidth="1"/>
    <col min="13830" max="13830" width="14.36328125" style="86" customWidth="1"/>
    <col min="13831" max="13831" width="15.453125" style="86" customWidth="1"/>
    <col min="13832" max="13832" width="17.90625" style="86" customWidth="1"/>
    <col min="13833" max="14080" width="9.1796875" style="86"/>
    <col min="14081" max="14081" width="6.36328125" style="86" customWidth="1"/>
    <col min="14082" max="14082" width="17.08984375" style="86" customWidth="1"/>
    <col min="14083" max="14083" width="15.08984375" style="86" customWidth="1"/>
    <col min="14084" max="14084" width="5.90625" style="86" customWidth="1"/>
    <col min="14085" max="14085" width="10.90625" style="86" customWidth="1"/>
    <col min="14086" max="14086" width="14.36328125" style="86" customWidth="1"/>
    <col min="14087" max="14087" width="15.453125" style="86" customWidth="1"/>
    <col min="14088" max="14088" width="17.90625" style="86" customWidth="1"/>
    <col min="14089" max="14336" width="9.1796875" style="86"/>
    <col min="14337" max="14337" width="6.36328125" style="86" customWidth="1"/>
    <col min="14338" max="14338" width="17.08984375" style="86" customWidth="1"/>
    <col min="14339" max="14339" width="15.08984375" style="86" customWidth="1"/>
    <col min="14340" max="14340" width="5.90625" style="86" customWidth="1"/>
    <col min="14341" max="14341" width="10.90625" style="86" customWidth="1"/>
    <col min="14342" max="14342" width="14.36328125" style="86" customWidth="1"/>
    <col min="14343" max="14343" width="15.453125" style="86" customWidth="1"/>
    <col min="14344" max="14344" width="17.90625" style="86" customWidth="1"/>
    <col min="14345" max="14592" width="9.1796875" style="86"/>
    <col min="14593" max="14593" width="6.36328125" style="86" customWidth="1"/>
    <col min="14594" max="14594" width="17.08984375" style="86" customWidth="1"/>
    <col min="14595" max="14595" width="15.08984375" style="86" customWidth="1"/>
    <col min="14596" max="14596" width="5.90625" style="86" customWidth="1"/>
    <col min="14597" max="14597" width="10.90625" style="86" customWidth="1"/>
    <col min="14598" max="14598" width="14.36328125" style="86" customWidth="1"/>
    <col min="14599" max="14599" width="15.453125" style="86" customWidth="1"/>
    <col min="14600" max="14600" width="17.90625" style="86" customWidth="1"/>
    <col min="14601" max="14848" width="9.1796875" style="86"/>
    <col min="14849" max="14849" width="6.36328125" style="86" customWidth="1"/>
    <col min="14850" max="14850" width="17.08984375" style="86" customWidth="1"/>
    <col min="14851" max="14851" width="15.08984375" style="86" customWidth="1"/>
    <col min="14852" max="14852" width="5.90625" style="86" customWidth="1"/>
    <col min="14853" max="14853" width="10.90625" style="86" customWidth="1"/>
    <col min="14854" max="14854" width="14.36328125" style="86" customWidth="1"/>
    <col min="14855" max="14855" width="15.453125" style="86" customWidth="1"/>
    <col min="14856" max="14856" width="17.90625" style="86" customWidth="1"/>
    <col min="14857" max="15104" width="9.1796875" style="86"/>
    <col min="15105" max="15105" width="6.36328125" style="86" customWidth="1"/>
    <col min="15106" max="15106" width="17.08984375" style="86" customWidth="1"/>
    <col min="15107" max="15107" width="15.08984375" style="86" customWidth="1"/>
    <col min="15108" max="15108" width="5.90625" style="86" customWidth="1"/>
    <col min="15109" max="15109" width="10.90625" style="86" customWidth="1"/>
    <col min="15110" max="15110" width="14.36328125" style="86" customWidth="1"/>
    <col min="15111" max="15111" width="15.453125" style="86" customWidth="1"/>
    <col min="15112" max="15112" width="17.90625" style="86" customWidth="1"/>
    <col min="15113" max="15360" width="9.1796875" style="86"/>
    <col min="15361" max="15361" width="6.36328125" style="86" customWidth="1"/>
    <col min="15362" max="15362" width="17.08984375" style="86" customWidth="1"/>
    <col min="15363" max="15363" width="15.08984375" style="86" customWidth="1"/>
    <col min="15364" max="15364" width="5.90625" style="86" customWidth="1"/>
    <col min="15365" max="15365" width="10.90625" style="86" customWidth="1"/>
    <col min="15366" max="15366" width="14.36328125" style="86" customWidth="1"/>
    <col min="15367" max="15367" width="15.453125" style="86" customWidth="1"/>
    <col min="15368" max="15368" width="17.90625" style="86" customWidth="1"/>
    <col min="15369" max="15616" width="9.1796875" style="86"/>
    <col min="15617" max="15617" width="6.36328125" style="86" customWidth="1"/>
    <col min="15618" max="15618" width="17.08984375" style="86" customWidth="1"/>
    <col min="15619" max="15619" width="15.08984375" style="86" customWidth="1"/>
    <col min="15620" max="15620" width="5.90625" style="86" customWidth="1"/>
    <col min="15621" max="15621" width="10.90625" style="86" customWidth="1"/>
    <col min="15622" max="15622" width="14.36328125" style="86" customWidth="1"/>
    <col min="15623" max="15623" width="15.453125" style="86" customWidth="1"/>
    <col min="15624" max="15624" width="17.90625" style="86" customWidth="1"/>
    <col min="15625" max="15872" width="9.1796875" style="86"/>
    <col min="15873" max="15873" width="6.36328125" style="86" customWidth="1"/>
    <col min="15874" max="15874" width="17.08984375" style="86" customWidth="1"/>
    <col min="15875" max="15875" width="15.08984375" style="86" customWidth="1"/>
    <col min="15876" max="15876" width="5.90625" style="86" customWidth="1"/>
    <col min="15877" max="15877" width="10.90625" style="86" customWidth="1"/>
    <col min="15878" max="15878" width="14.36328125" style="86" customWidth="1"/>
    <col min="15879" max="15879" width="15.453125" style="86" customWidth="1"/>
    <col min="15880" max="15880" width="17.90625" style="86" customWidth="1"/>
    <col min="15881" max="16128" width="9.1796875" style="86"/>
    <col min="16129" max="16129" width="6.36328125" style="86" customWidth="1"/>
    <col min="16130" max="16130" width="17.08984375" style="86" customWidth="1"/>
    <col min="16131" max="16131" width="15.08984375" style="86" customWidth="1"/>
    <col min="16132" max="16132" width="5.90625" style="86" customWidth="1"/>
    <col min="16133" max="16133" width="10.90625" style="86" customWidth="1"/>
    <col min="16134" max="16134" width="14.36328125" style="86" customWidth="1"/>
    <col min="16135" max="16135" width="15.453125" style="86" customWidth="1"/>
    <col min="16136" max="16136" width="17.90625" style="86" customWidth="1"/>
    <col min="16137" max="16384" width="9.1796875" style="86"/>
  </cols>
  <sheetData>
    <row r="1" spans="1:13" ht="20.25" customHeight="1">
      <c r="A1" s="443"/>
      <c r="B1" s="443"/>
      <c r="C1" s="446" t="s">
        <v>587</v>
      </c>
      <c r="D1" s="446"/>
      <c r="E1" s="446"/>
      <c r="F1" s="446"/>
      <c r="G1" s="446"/>
      <c r="H1" s="83" t="s">
        <v>588</v>
      </c>
    </row>
    <row r="2" spans="1:13" ht="24.9" customHeight="1">
      <c r="A2" s="444"/>
      <c r="B2" s="444"/>
      <c r="C2" s="447"/>
      <c r="D2" s="447"/>
      <c r="E2" s="447"/>
      <c r="F2" s="447"/>
      <c r="G2" s="447"/>
      <c r="H2" s="84" t="s">
        <v>81</v>
      </c>
    </row>
    <row r="3" spans="1:13" ht="24.9" customHeight="1" thickBot="1">
      <c r="A3" s="445"/>
      <c r="B3" s="445"/>
      <c r="C3" s="448"/>
      <c r="D3" s="448"/>
      <c r="E3" s="448"/>
      <c r="F3" s="448"/>
      <c r="G3" s="448"/>
      <c r="H3" s="85" t="s">
        <v>82</v>
      </c>
    </row>
    <row r="4" spans="1:13" s="169" customFormat="1" ht="9.9" customHeight="1"/>
    <row r="5" spans="1:13" s="40" customFormat="1" ht="25.5" customHeight="1">
      <c r="A5" s="169"/>
      <c r="B5" s="180" t="s">
        <v>589</v>
      </c>
      <c r="C5" s="181"/>
      <c r="D5" s="182"/>
      <c r="E5" s="169"/>
      <c r="F5" s="183"/>
      <c r="G5" s="184"/>
      <c r="H5" s="184"/>
      <c r="I5" s="169"/>
      <c r="J5" s="169"/>
      <c r="K5" s="169"/>
      <c r="L5" s="169"/>
      <c r="M5" s="169"/>
    </row>
    <row r="6" spans="1:13" s="40" customFormat="1" ht="21" customHeight="1">
      <c r="A6" s="169"/>
      <c r="B6" s="185" t="s">
        <v>590</v>
      </c>
      <c r="C6" s="182"/>
      <c r="D6" s="182"/>
      <c r="E6" s="169"/>
      <c r="F6" s="183"/>
      <c r="G6" s="184"/>
      <c r="H6" s="184"/>
      <c r="I6" s="169"/>
      <c r="J6" s="169"/>
      <c r="K6" s="169"/>
      <c r="L6" s="169"/>
      <c r="M6" s="169"/>
    </row>
    <row r="7" spans="1:13" s="93" customFormat="1" ht="53.1" customHeight="1">
      <c r="A7" s="186" t="s">
        <v>591</v>
      </c>
      <c r="B7" s="187" t="s">
        <v>592</v>
      </c>
      <c r="C7" s="187" t="s">
        <v>593</v>
      </c>
      <c r="D7" s="187" t="s">
        <v>594</v>
      </c>
      <c r="E7" s="187" t="s">
        <v>595</v>
      </c>
      <c r="F7" s="187" t="s">
        <v>596</v>
      </c>
      <c r="G7" s="188" t="s">
        <v>597</v>
      </c>
      <c r="H7" s="187" t="s">
        <v>598</v>
      </c>
      <c r="I7" s="189"/>
      <c r="J7" s="189"/>
      <c r="K7" s="189"/>
      <c r="L7" s="189"/>
      <c r="M7" s="189"/>
    </row>
    <row r="8" spans="1:13" ht="37.5" customHeight="1">
      <c r="A8" s="190"/>
      <c r="B8" s="191"/>
      <c r="C8" s="191"/>
      <c r="D8" s="191"/>
      <c r="E8" s="192"/>
      <c r="F8" s="193"/>
      <c r="G8" s="191"/>
      <c r="H8" s="194"/>
      <c r="I8" s="169"/>
      <c r="J8" s="169"/>
      <c r="K8" s="169"/>
      <c r="L8" s="169"/>
      <c r="M8" s="169"/>
    </row>
    <row r="9" spans="1:13" ht="39.75" customHeight="1">
      <c r="A9" s="190"/>
      <c r="B9" s="195"/>
      <c r="C9" s="195"/>
      <c r="D9" s="195"/>
      <c r="E9" s="196"/>
      <c r="F9" s="197"/>
      <c r="G9" s="195"/>
      <c r="H9" s="194"/>
      <c r="I9" s="169"/>
      <c r="J9" s="169"/>
      <c r="K9" s="169"/>
      <c r="L9" s="169"/>
      <c r="M9" s="169"/>
    </row>
    <row r="10" spans="1:13" ht="40.5" customHeight="1">
      <c r="A10" s="190"/>
      <c r="B10" s="191"/>
      <c r="C10" s="191"/>
      <c r="D10" s="191"/>
      <c r="E10" s="192"/>
      <c r="F10" s="198"/>
      <c r="G10" s="199"/>
      <c r="H10" s="194"/>
      <c r="I10" s="169"/>
      <c r="J10" s="169"/>
      <c r="K10" s="169"/>
      <c r="L10" s="169"/>
      <c r="M10" s="169"/>
    </row>
    <row r="11" spans="1:13" ht="39.75" customHeight="1">
      <c r="A11" s="190"/>
      <c r="B11" s="195"/>
      <c r="C11" s="195"/>
      <c r="D11" s="195"/>
      <c r="E11" s="196"/>
      <c r="F11" s="200"/>
      <c r="G11" s="191"/>
      <c r="H11" s="194"/>
      <c r="I11" s="169"/>
      <c r="J11" s="169"/>
      <c r="K11" s="169"/>
      <c r="L11" s="169"/>
      <c r="M11" s="169"/>
    </row>
    <row r="12" spans="1:13" s="202" customFormat="1" ht="39.75" customHeight="1">
      <c r="A12" s="449" t="s">
        <v>599</v>
      </c>
      <c r="B12" s="449"/>
      <c r="C12" s="449"/>
      <c r="D12" s="449"/>
      <c r="E12" s="449"/>
      <c r="F12" s="449"/>
      <c r="G12" s="449"/>
      <c r="H12" s="449"/>
      <c r="I12" s="201"/>
      <c r="J12" s="201"/>
      <c r="K12" s="201"/>
      <c r="L12" s="201"/>
      <c r="M12" s="201"/>
    </row>
    <row r="13" spans="1:13" ht="26.25" customHeight="1">
      <c r="A13" s="450" t="s">
        <v>600</v>
      </c>
      <c r="B13" s="450"/>
      <c r="C13" s="450"/>
      <c r="D13" s="450"/>
      <c r="E13" s="450"/>
      <c r="F13" s="450"/>
      <c r="G13" s="450"/>
      <c r="H13" s="450"/>
      <c r="I13" s="169"/>
      <c r="J13" s="169"/>
      <c r="K13" s="169"/>
      <c r="L13" s="169"/>
      <c r="M13" s="169"/>
    </row>
    <row r="14" spans="1:13" ht="23.25" customHeight="1">
      <c r="A14" s="203" t="s">
        <v>601</v>
      </c>
      <c r="B14" s="203"/>
      <c r="C14" s="203"/>
      <c r="D14" s="203"/>
      <c r="E14" s="203"/>
      <c r="F14" s="203"/>
      <c r="G14" s="204"/>
      <c r="H14" s="205"/>
      <c r="I14" s="169"/>
      <c r="J14" s="169"/>
      <c r="K14" s="169"/>
      <c r="L14" s="169"/>
      <c r="M14" s="169"/>
    </row>
    <row r="15" spans="1:13" ht="23.25" customHeight="1">
      <c r="A15" s="203" t="s">
        <v>602</v>
      </c>
      <c r="B15" s="203"/>
      <c r="C15" s="203"/>
      <c r="D15" s="203"/>
      <c r="E15" s="203"/>
      <c r="F15" s="203"/>
      <c r="G15" s="204"/>
      <c r="H15" s="205"/>
      <c r="I15" s="169"/>
      <c r="J15" s="169"/>
      <c r="K15" s="169"/>
      <c r="L15" s="169"/>
      <c r="M15" s="169"/>
    </row>
    <row r="16" spans="1:13" ht="23.25" customHeight="1">
      <c r="A16" s="169" t="s">
        <v>603</v>
      </c>
      <c r="B16" s="169"/>
      <c r="C16" s="203"/>
      <c r="D16" s="169"/>
      <c r="E16" s="203"/>
      <c r="F16" s="169"/>
      <c r="H16" s="183"/>
      <c r="I16" s="169"/>
      <c r="J16" s="169"/>
      <c r="K16" s="169"/>
      <c r="L16" s="169"/>
      <c r="M16" s="169"/>
    </row>
    <row r="17" spans="1:13" ht="23.25" customHeight="1">
      <c r="A17" s="451"/>
      <c r="B17" s="451"/>
      <c r="C17" s="451"/>
      <c r="D17" s="451"/>
      <c r="E17" s="451"/>
      <c r="F17" s="451"/>
      <c r="G17" s="183"/>
      <c r="H17" s="183"/>
      <c r="I17" s="169"/>
      <c r="J17" s="169"/>
      <c r="K17" s="169"/>
      <c r="L17" s="169"/>
      <c r="M17" s="169"/>
    </row>
    <row r="18" spans="1:13" ht="15.75" customHeight="1">
      <c r="A18" s="185"/>
      <c r="B18" s="452" t="s">
        <v>604</v>
      </c>
      <c r="C18" s="452"/>
      <c r="D18" s="185"/>
      <c r="E18" s="185"/>
      <c r="F18" s="185"/>
      <c r="G18" s="452" t="s">
        <v>604</v>
      </c>
      <c r="H18" s="452"/>
      <c r="I18" s="169"/>
      <c r="J18" s="169"/>
      <c r="K18" s="169"/>
      <c r="L18" s="169"/>
      <c r="M18" s="169"/>
    </row>
    <row r="19" spans="1:13" ht="27.6" customHeight="1">
      <c r="A19" s="169"/>
      <c r="B19" s="441" t="s">
        <v>605</v>
      </c>
      <c r="C19" s="441"/>
      <c r="D19" s="169"/>
      <c r="E19" s="169"/>
      <c r="F19" s="183"/>
      <c r="G19" s="442" t="s">
        <v>606</v>
      </c>
      <c r="H19" s="442"/>
      <c r="I19" s="169"/>
      <c r="J19" s="169"/>
      <c r="K19" s="169"/>
      <c r="L19" s="169"/>
      <c r="M19" s="169"/>
    </row>
    <row r="20" spans="1:13" ht="17.25" customHeight="1">
      <c r="A20" s="169"/>
      <c r="B20" s="206"/>
      <c r="C20" s="207"/>
      <c r="D20" s="207"/>
      <c r="E20" s="207"/>
      <c r="F20" s="183"/>
      <c r="G20" s="207"/>
      <c r="H20" s="207"/>
      <c r="I20" s="169"/>
      <c r="J20" s="169"/>
      <c r="K20" s="169"/>
      <c r="L20" s="169"/>
      <c r="M20" s="169"/>
    </row>
    <row r="21" spans="1:13" ht="17.25" customHeight="1">
      <c r="A21" s="169"/>
      <c r="B21" s="206"/>
      <c r="C21" s="207"/>
      <c r="D21" s="207"/>
      <c r="E21" s="207"/>
      <c r="F21" s="183"/>
      <c r="G21" s="208"/>
      <c r="H21" s="207"/>
      <c r="I21" s="169"/>
      <c r="J21" s="169"/>
      <c r="K21" s="169"/>
      <c r="L21" s="169"/>
      <c r="M21" s="169"/>
    </row>
    <row r="22" spans="1:13" ht="17.25" customHeight="1">
      <c r="A22" s="169"/>
      <c r="B22" s="169"/>
      <c r="C22" s="169"/>
      <c r="D22" s="169"/>
      <c r="E22" s="169"/>
      <c r="F22" s="169"/>
      <c r="G22" s="169"/>
      <c r="H22" s="169"/>
      <c r="I22" s="169"/>
      <c r="J22" s="169"/>
      <c r="K22" s="169"/>
      <c r="L22" s="169"/>
      <c r="M22" s="169"/>
    </row>
    <row r="23" spans="1:13" ht="17.25" customHeight="1">
      <c r="A23" s="169"/>
      <c r="B23" s="204"/>
      <c r="C23" s="169"/>
      <c r="D23" s="169"/>
      <c r="E23" s="169"/>
      <c r="F23" s="169"/>
      <c r="G23" s="169"/>
      <c r="H23" s="169"/>
      <c r="I23" s="169"/>
      <c r="J23" s="169"/>
      <c r="K23" s="169"/>
      <c r="L23" s="169"/>
      <c r="M23" s="169"/>
    </row>
    <row r="24" spans="1:13" ht="17.25" customHeight="1">
      <c r="A24" s="169"/>
      <c r="B24" s="169"/>
      <c r="C24" s="169"/>
      <c r="D24" s="169"/>
      <c r="E24" s="169"/>
      <c r="F24" s="169"/>
      <c r="G24" s="169"/>
      <c r="H24" s="169"/>
      <c r="I24" s="169"/>
      <c r="J24" s="169"/>
      <c r="K24" s="169"/>
      <c r="L24" s="169"/>
      <c r="M24" s="169"/>
    </row>
    <row r="25" spans="1:13" ht="17.25" customHeight="1">
      <c r="A25" s="169"/>
      <c r="B25" s="169"/>
      <c r="C25" s="169"/>
      <c r="D25" s="169"/>
      <c r="E25" s="169"/>
      <c r="F25" s="169"/>
      <c r="G25" s="169"/>
      <c r="H25" s="169"/>
      <c r="I25" s="169"/>
      <c r="J25" s="169"/>
      <c r="K25" s="169"/>
      <c r="L25" s="169"/>
      <c r="M25" s="169"/>
    </row>
    <row r="26" spans="1:13" ht="17.25" customHeight="1">
      <c r="A26" s="169"/>
      <c r="B26" s="169"/>
      <c r="C26" s="169"/>
      <c r="D26" s="169"/>
      <c r="E26" s="169"/>
      <c r="F26" s="169"/>
      <c r="G26" s="169"/>
      <c r="H26" s="169"/>
      <c r="I26" s="169"/>
      <c r="J26" s="169"/>
      <c r="K26" s="169"/>
      <c r="L26" s="169"/>
      <c r="M26" s="169"/>
    </row>
    <row r="27" spans="1:13" ht="17.25" customHeight="1">
      <c r="A27" s="169"/>
      <c r="B27" s="169"/>
      <c r="C27" s="169"/>
      <c r="D27" s="169"/>
      <c r="E27" s="169"/>
      <c r="F27" s="169"/>
      <c r="G27" s="169"/>
      <c r="H27" s="169"/>
      <c r="I27" s="169"/>
      <c r="J27" s="169"/>
      <c r="K27" s="169"/>
      <c r="L27" s="169"/>
      <c r="M27" s="169"/>
    </row>
    <row r="28" spans="1:13" ht="17.25" customHeight="1">
      <c r="A28" s="169"/>
      <c r="B28" s="169"/>
      <c r="C28" s="169"/>
      <c r="D28" s="169"/>
      <c r="E28" s="169"/>
      <c r="F28" s="169"/>
      <c r="G28" s="169"/>
      <c r="H28" s="169"/>
      <c r="I28" s="169"/>
      <c r="J28" s="169"/>
      <c r="K28" s="169"/>
      <c r="L28" s="169"/>
      <c r="M28" s="169"/>
    </row>
    <row r="29" spans="1:13" ht="17.25" customHeight="1">
      <c r="A29" s="169"/>
      <c r="B29" s="169"/>
      <c r="C29" s="169"/>
      <c r="D29" s="169"/>
      <c r="E29" s="169"/>
      <c r="F29" s="169"/>
      <c r="G29" s="169"/>
      <c r="H29" s="169"/>
      <c r="I29" s="169"/>
      <c r="J29" s="169"/>
      <c r="K29" s="169"/>
      <c r="L29" s="169"/>
      <c r="M29" s="169"/>
    </row>
    <row r="30" spans="1:13" ht="17.25" customHeight="1">
      <c r="A30" s="169"/>
      <c r="B30" s="169"/>
      <c r="C30" s="169"/>
      <c r="D30" s="169"/>
      <c r="E30" s="169"/>
      <c r="F30" s="169"/>
      <c r="G30" s="169"/>
      <c r="H30" s="169"/>
      <c r="I30" s="169"/>
      <c r="J30" s="169"/>
      <c r="K30" s="169"/>
      <c r="L30" s="169"/>
      <c r="M30" s="169"/>
    </row>
    <row r="31" spans="1:13" ht="17.25" customHeight="1">
      <c r="A31" s="169"/>
      <c r="B31" s="169"/>
      <c r="C31" s="169"/>
      <c r="D31" s="169"/>
      <c r="E31" s="169"/>
      <c r="F31" s="169"/>
      <c r="G31" s="169"/>
      <c r="H31" s="169"/>
      <c r="I31" s="169"/>
      <c r="J31" s="169"/>
      <c r="K31" s="169"/>
      <c r="L31" s="169"/>
      <c r="M31" s="169"/>
    </row>
    <row r="32" spans="1:13"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sheetData>
  <mergeCells count="9">
    <mergeCell ref="B19:C19"/>
    <mergeCell ref="G19:H19"/>
    <mergeCell ref="A1:B3"/>
    <mergeCell ref="C1:G3"/>
    <mergeCell ref="A12:H12"/>
    <mergeCell ref="A13:H13"/>
    <mergeCell ref="A17:F17"/>
    <mergeCell ref="B18:C18"/>
    <mergeCell ref="G18:H18"/>
  </mergeCells>
  <pageMargins left="0.75" right="0.75" top="0.28000000000000003" bottom="0.27" header="0.23" footer="0.16"/>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2</xdr:col>
                    <xdr:colOff>502920</xdr:colOff>
                    <xdr:row>13</xdr:row>
                    <xdr:rowOff>83820</xdr:rowOff>
                  </from>
                  <to>
                    <xdr:col>2</xdr:col>
                    <xdr:colOff>716280</xdr:colOff>
                    <xdr:row>14</xdr:row>
                    <xdr:rowOff>22860</xdr:rowOff>
                  </to>
                </anchor>
              </controlPr>
            </control>
          </mc:Choice>
        </mc:AlternateContent>
        <mc:AlternateContent xmlns:mc="http://schemas.openxmlformats.org/markup-compatibility/2006">
          <mc:Choice Requires="x14">
            <control shapeId="17410" r:id="rId5" name="Check Box 2">
              <controlPr defaultSize="0" autoFill="0" autoLine="0" autoPict="0">
                <anchor moveWithCells="1">
                  <from>
                    <xdr:col>2</xdr:col>
                    <xdr:colOff>502920</xdr:colOff>
                    <xdr:row>14</xdr:row>
                    <xdr:rowOff>83820</xdr:rowOff>
                  </from>
                  <to>
                    <xdr:col>2</xdr:col>
                    <xdr:colOff>716280</xdr:colOff>
                    <xdr:row>15</xdr:row>
                    <xdr:rowOff>22860</xdr:rowOff>
                  </to>
                </anchor>
              </controlPr>
            </control>
          </mc:Choice>
        </mc:AlternateContent>
        <mc:AlternateContent xmlns:mc="http://schemas.openxmlformats.org/markup-compatibility/2006">
          <mc:Choice Requires="x14">
            <control shapeId="17411" r:id="rId6" name="Check Box 3">
              <controlPr defaultSize="0" autoFill="0" autoLine="0" autoPict="0">
                <anchor moveWithCells="1">
                  <from>
                    <xdr:col>2</xdr:col>
                    <xdr:colOff>502920</xdr:colOff>
                    <xdr:row>15</xdr:row>
                    <xdr:rowOff>83820</xdr:rowOff>
                  </from>
                  <to>
                    <xdr:col>2</xdr:col>
                    <xdr:colOff>716280</xdr:colOff>
                    <xdr:row>16</xdr:row>
                    <xdr:rowOff>22860</xdr:rowOff>
                  </to>
                </anchor>
              </controlPr>
            </control>
          </mc:Choice>
        </mc:AlternateContent>
        <mc:AlternateContent xmlns:mc="http://schemas.openxmlformats.org/markup-compatibility/2006">
          <mc:Choice Requires="x14">
            <control shapeId="17412" r:id="rId7" name="Check Box 4">
              <controlPr defaultSize="0" autoFill="0" autoLine="0" autoPict="0">
                <anchor moveWithCells="1">
                  <from>
                    <xdr:col>3</xdr:col>
                    <xdr:colOff>464820</xdr:colOff>
                    <xdr:row>13</xdr:row>
                    <xdr:rowOff>83820</xdr:rowOff>
                  </from>
                  <to>
                    <xdr:col>4</xdr:col>
                    <xdr:colOff>182880</xdr:colOff>
                    <xdr:row>14</xdr:row>
                    <xdr:rowOff>22860</xdr:rowOff>
                  </to>
                </anchor>
              </controlPr>
            </control>
          </mc:Choice>
        </mc:AlternateContent>
        <mc:AlternateContent xmlns:mc="http://schemas.openxmlformats.org/markup-compatibility/2006">
          <mc:Choice Requires="x14">
            <control shapeId="17413" r:id="rId8" name="Check Box 5">
              <controlPr defaultSize="0" autoFill="0" autoLine="0" autoPict="0">
                <anchor moveWithCells="1">
                  <from>
                    <xdr:col>3</xdr:col>
                    <xdr:colOff>464820</xdr:colOff>
                    <xdr:row>14</xdr:row>
                    <xdr:rowOff>83820</xdr:rowOff>
                  </from>
                  <to>
                    <xdr:col>4</xdr:col>
                    <xdr:colOff>182880</xdr:colOff>
                    <xdr:row>15</xdr:row>
                    <xdr:rowOff>22860</xdr:rowOff>
                  </to>
                </anchor>
              </controlPr>
            </control>
          </mc:Choice>
        </mc:AlternateContent>
        <mc:AlternateContent xmlns:mc="http://schemas.openxmlformats.org/markup-compatibility/2006">
          <mc:Choice Requires="x14">
            <control shapeId="17414" r:id="rId9" name="Check Box 6">
              <controlPr defaultSize="0" autoFill="0" autoLine="0" autoPict="0">
                <anchor moveWithCells="1">
                  <from>
                    <xdr:col>3</xdr:col>
                    <xdr:colOff>464820</xdr:colOff>
                    <xdr:row>15</xdr:row>
                    <xdr:rowOff>83820</xdr:rowOff>
                  </from>
                  <to>
                    <xdr:col>4</xdr:col>
                    <xdr:colOff>182880</xdr:colOff>
                    <xdr:row>16</xdr:row>
                    <xdr:rowOff>22860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F8DB-B506-4AA4-A1A5-61E40388AB6E}">
  <dimension ref="B1:O21"/>
  <sheetViews>
    <sheetView workbookViewId="0">
      <selection activeCell="D2" sqref="D2:I4"/>
    </sheetView>
  </sheetViews>
  <sheetFormatPr defaultColWidth="7.81640625" defaultRowHeight="15.6"/>
  <cols>
    <col min="1" max="1" width="3.81640625" style="168" customWidth="1"/>
    <col min="2" max="2" width="5.6328125" style="168" customWidth="1"/>
    <col min="3" max="3" width="9.08984375" style="168" customWidth="1"/>
    <col min="4" max="4" width="8.90625" style="168" customWidth="1"/>
    <col min="5" max="5" width="10.08984375" style="168" customWidth="1"/>
    <col min="6" max="6" width="6.08984375" style="168" customWidth="1"/>
    <col min="7" max="7" width="9.453125" style="168" customWidth="1"/>
    <col min="8" max="8" width="6.90625" style="168" customWidth="1"/>
    <col min="9" max="9" width="10.08984375" style="168" customWidth="1"/>
    <col min="10" max="10" width="10.54296875" style="168" customWidth="1"/>
    <col min="11" max="11" width="10.6328125" style="168" customWidth="1"/>
    <col min="12" max="256" width="7.81640625" style="168"/>
    <col min="257" max="257" width="3.81640625" style="168" customWidth="1"/>
    <col min="258" max="258" width="5.6328125" style="168" customWidth="1"/>
    <col min="259" max="259" width="9.08984375" style="168" customWidth="1"/>
    <col min="260" max="260" width="8.90625" style="168" customWidth="1"/>
    <col min="261" max="261" width="10.08984375" style="168" customWidth="1"/>
    <col min="262" max="262" width="6.08984375" style="168" customWidth="1"/>
    <col min="263" max="263" width="9.453125" style="168" customWidth="1"/>
    <col min="264" max="264" width="6.90625" style="168" customWidth="1"/>
    <col min="265" max="265" width="10.08984375" style="168" customWidth="1"/>
    <col min="266" max="266" width="10.54296875" style="168" customWidth="1"/>
    <col min="267" max="267" width="10.6328125" style="168" customWidth="1"/>
    <col min="268" max="512" width="7.81640625" style="168"/>
    <col min="513" max="513" width="3.81640625" style="168" customWidth="1"/>
    <col min="514" max="514" width="5.6328125" style="168" customWidth="1"/>
    <col min="515" max="515" width="9.08984375" style="168" customWidth="1"/>
    <col min="516" max="516" width="8.90625" style="168" customWidth="1"/>
    <col min="517" max="517" width="10.08984375" style="168" customWidth="1"/>
    <col min="518" max="518" width="6.08984375" style="168" customWidth="1"/>
    <col min="519" max="519" width="9.453125" style="168" customWidth="1"/>
    <col min="520" max="520" width="6.90625" style="168" customWidth="1"/>
    <col min="521" max="521" width="10.08984375" style="168" customWidth="1"/>
    <col min="522" max="522" width="10.54296875" style="168" customWidth="1"/>
    <col min="523" max="523" width="10.6328125" style="168" customWidth="1"/>
    <col min="524" max="768" width="7.81640625" style="168"/>
    <col min="769" max="769" width="3.81640625" style="168" customWidth="1"/>
    <col min="770" max="770" width="5.6328125" style="168" customWidth="1"/>
    <col min="771" max="771" width="9.08984375" style="168" customWidth="1"/>
    <col min="772" max="772" width="8.90625" style="168" customWidth="1"/>
    <col min="773" max="773" width="10.08984375" style="168" customWidth="1"/>
    <col min="774" max="774" width="6.08984375" style="168" customWidth="1"/>
    <col min="775" max="775" width="9.453125" style="168" customWidth="1"/>
    <col min="776" max="776" width="6.90625" style="168" customWidth="1"/>
    <col min="777" max="777" width="10.08984375" style="168" customWidth="1"/>
    <col min="778" max="778" width="10.54296875" style="168" customWidth="1"/>
    <col min="779" max="779" width="10.6328125" style="168" customWidth="1"/>
    <col min="780" max="1024" width="7.81640625" style="168"/>
    <col min="1025" max="1025" width="3.81640625" style="168" customWidth="1"/>
    <col min="1026" max="1026" width="5.6328125" style="168" customWidth="1"/>
    <col min="1027" max="1027" width="9.08984375" style="168" customWidth="1"/>
    <col min="1028" max="1028" width="8.90625" style="168" customWidth="1"/>
    <col min="1029" max="1029" width="10.08984375" style="168" customWidth="1"/>
    <col min="1030" max="1030" width="6.08984375" style="168" customWidth="1"/>
    <col min="1031" max="1031" width="9.453125" style="168" customWidth="1"/>
    <col min="1032" max="1032" width="6.90625" style="168" customWidth="1"/>
    <col min="1033" max="1033" width="10.08984375" style="168" customWidth="1"/>
    <col min="1034" max="1034" width="10.54296875" style="168" customWidth="1"/>
    <col min="1035" max="1035" width="10.6328125" style="168" customWidth="1"/>
    <col min="1036" max="1280" width="7.81640625" style="168"/>
    <col min="1281" max="1281" width="3.81640625" style="168" customWidth="1"/>
    <col min="1282" max="1282" width="5.6328125" style="168" customWidth="1"/>
    <col min="1283" max="1283" width="9.08984375" style="168" customWidth="1"/>
    <col min="1284" max="1284" width="8.90625" style="168" customWidth="1"/>
    <col min="1285" max="1285" width="10.08984375" style="168" customWidth="1"/>
    <col min="1286" max="1286" width="6.08984375" style="168" customWidth="1"/>
    <col min="1287" max="1287" width="9.453125" style="168" customWidth="1"/>
    <col min="1288" max="1288" width="6.90625" style="168" customWidth="1"/>
    <col min="1289" max="1289" width="10.08984375" style="168" customWidth="1"/>
    <col min="1290" max="1290" width="10.54296875" style="168" customWidth="1"/>
    <col min="1291" max="1291" width="10.6328125" style="168" customWidth="1"/>
    <col min="1292" max="1536" width="7.81640625" style="168"/>
    <col min="1537" max="1537" width="3.81640625" style="168" customWidth="1"/>
    <col min="1538" max="1538" width="5.6328125" style="168" customWidth="1"/>
    <col min="1539" max="1539" width="9.08984375" style="168" customWidth="1"/>
    <col min="1540" max="1540" width="8.90625" style="168" customWidth="1"/>
    <col min="1541" max="1541" width="10.08984375" style="168" customWidth="1"/>
    <col min="1542" max="1542" width="6.08984375" style="168" customWidth="1"/>
    <col min="1543" max="1543" width="9.453125" style="168" customWidth="1"/>
    <col min="1544" max="1544" width="6.90625" style="168" customWidth="1"/>
    <col min="1545" max="1545" width="10.08984375" style="168" customWidth="1"/>
    <col min="1546" max="1546" width="10.54296875" style="168" customWidth="1"/>
    <col min="1547" max="1547" width="10.6328125" style="168" customWidth="1"/>
    <col min="1548" max="1792" width="7.81640625" style="168"/>
    <col min="1793" max="1793" width="3.81640625" style="168" customWidth="1"/>
    <col min="1794" max="1794" width="5.6328125" style="168" customWidth="1"/>
    <col min="1795" max="1795" width="9.08984375" style="168" customWidth="1"/>
    <col min="1796" max="1796" width="8.90625" style="168" customWidth="1"/>
    <col min="1797" max="1797" width="10.08984375" style="168" customWidth="1"/>
    <col min="1798" max="1798" width="6.08984375" style="168" customWidth="1"/>
    <col min="1799" max="1799" width="9.453125" style="168" customWidth="1"/>
    <col min="1800" max="1800" width="6.90625" style="168" customWidth="1"/>
    <col min="1801" max="1801" width="10.08984375" style="168" customWidth="1"/>
    <col min="1802" max="1802" width="10.54296875" style="168" customWidth="1"/>
    <col min="1803" max="1803" width="10.6328125" style="168" customWidth="1"/>
    <col min="1804" max="2048" width="7.81640625" style="168"/>
    <col min="2049" max="2049" width="3.81640625" style="168" customWidth="1"/>
    <col min="2050" max="2050" width="5.6328125" style="168" customWidth="1"/>
    <col min="2051" max="2051" width="9.08984375" style="168" customWidth="1"/>
    <col min="2052" max="2052" width="8.90625" style="168" customWidth="1"/>
    <col min="2053" max="2053" width="10.08984375" style="168" customWidth="1"/>
    <col min="2054" max="2054" width="6.08984375" style="168" customWidth="1"/>
    <col min="2055" max="2055" width="9.453125" style="168" customWidth="1"/>
    <col min="2056" max="2056" width="6.90625" style="168" customWidth="1"/>
    <col min="2057" max="2057" width="10.08984375" style="168" customWidth="1"/>
    <col min="2058" max="2058" width="10.54296875" style="168" customWidth="1"/>
    <col min="2059" max="2059" width="10.6328125" style="168" customWidth="1"/>
    <col min="2060" max="2304" width="7.81640625" style="168"/>
    <col min="2305" max="2305" width="3.81640625" style="168" customWidth="1"/>
    <col min="2306" max="2306" width="5.6328125" style="168" customWidth="1"/>
    <col min="2307" max="2307" width="9.08984375" style="168" customWidth="1"/>
    <col min="2308" max="2308" width="8.90625" style="168" customWidth="1"/>
    <col min="2309" max="2309" width="10.08984375" style="168" customWidth="1"/>
    <col min="2310" max="2310" width="6.08984375" style="168" customWidth="1"/>
    <col min="2311" max="2311" width="9.453125" style="168" customWidth="1"/>
    <col min="2312" max="2312" width="6.90625" style="168" customWidth="1"/>
    <col min="2313" max="2313" width="10.08984375" style="168" customWidth="1"/>
    <col min="2314" max="2314" width="10.54296875" style="168" customWidth="1"/>
    <col min="2315" max="2315" width="10.6328125" style="168" customWidth="1"/>
    <col min="2316" max="2560" width="7.81640625" style="168"/>
    <col min="2561" max="2561" width="3.81640625" style="168" customWidth="1"/>
    <col min="2562" max="2562" width="5.6328125" style="168" customWidth="1"/>
    <col min="2563" max="2563" width="9.08984375" style="168" customWidth="1"/>
    <col min="2564" max="2564" width="8.90625" style="168" customWidth="1"/>
    <col min="2565" max="2565" width="10.08984375" style="168" customWidth="1"/>
    <col min="2566" max="2566" width="6.08984375" style="168" customWidth="1"/>
    <col min="2567" max="2567" width="9.453125" style="168" customWidth="1"/>
    <col min="2568" max="2568" width="6.90625" style="168" customWidth="1"/>
    <col min="2569" max="2569" width="10.08984375" style="168" customWidth="1"/>
    <col min="2570" max="2570" width="10.54296875" style="168" customWidth="1"/>
    <col min="2571" max="2571" width="10.6328125" style="168" customWidth="1"/>
    <col min="2572" max="2816" width="7.81640625" style="168"/>
    <col min="2817" max="2817" width="3.81640625" style="168" customWidth="1"/>
    <col min="2818" max="2818" width="5.6328125" style="168" customWidth="1"/>
    <col min="2819" max="2819" width="9.08984375" style="168" customWidth="1"/>
    <col min="2820" max="2820" width="8.90625" style="168" customWidth="1"/>
    <col min="2821" max="2821" width="10.08984375" style="168" customWidth="1"/>
    <col min="2822" max="2822" width="6.08984375" style="168" customWidth="1"/>
    <col min="2823" max="2823" width="9.453125" style="168" customWidth="1"/>
    <col min="2824" max="2824" width="6.90625" style="168" customWidth="1"/>
    <col min="2825" max="2825" width="10.08984375" style="168" customWidth="1"/>
    <col min="2826" max="2826" width="10.54296875" style="168" customWidth="1"/>
    <col min="2827" max="2827" width="10.6328125" style="168" customWidth="1"/>
    <col min="2828" max="3072" width="7.81640625" style="168"/>
    <col min="3073" max="3073" width="3.81640625" style="168" customWidth="1"/>
    <col min="3074" max="3074" width="5.6328125" style="168" customWidth="1"/>
    <col min="3075" max="3075" width="9.08984375" style="168" customWidth="1"/>
    <col min="3076" max="3076" width="8.90625" style="168" customWidth="1"/>
    <col min="3077" max="3077" width="10.08984375" style="168" customWidth="1"/>
    <col min="3078" max="3078" width="6.08984375" style="168" customWidth="1"/>
    <col min="3079" max="3079" width="9.453125" style="168" customWidth="1"/>
    <col min="3080" max="3080" width="6.90625" style="168" customWidth="1"/>
    <col min="3081" max="3081" width="10.08984375" style="168" customWidth="1"/>
    <col min="3082" max="3082" width="10.54296875" style="168" customWidth="1"/>
    <col min="3083" max="3083" width="10.6328125" style="168" customWidth="1"/>
    <col min="3084" max="3328" width="7.81640625" style="168"/>
    <col min="3329" max="3329" width="3.81640625" style="168" customWidth="1"/>
    <col min="3330" max="3330" width="5.6328125" style="168" customWidth="1"/>
    <col min="3331" max="3331" width="9.08984375" style="168" customWidth="1"/>
    <col min="3332" max="3332" width="8.90625" style="168" customWidth="1"/>
    <col min="3333" max="3333" width="10.08984375" style="168" customWidth="1"/>
    <col min="3334" max="3334" width="6.08984375" style="168" customWidth="1"/>
    <col min="3335" max="3335" width="9.453125" style="168" customWidth="1"/>
    <col min="3336" max="3336" width="6.90625" style="168" customWidth="1"/>
    <col min="3337" max="3337" width="10.08984375" style="168" customWidth="1"/>
    <col min="3338" max="3338" width="10.54296875" style="168" customWidth="1"/>
    <col min="3339" max="3339" width="10.6328125" style="168" customWidth="1"/>
    <col min="3340" max="3584" width="7.81640625" style="168"/>
    <col min="3585" max="3585" width="3.81640625" style="168" customWidth="1"/>
    <col min="3586" max="3586" width="5.6328125" style="168" customWidth="1"/>
    <col min="3587" max="3587" width="9.08984375" style="168" customWidth="1"/>
    <col min="3588" max="3588" width="8.90625" style="168" customWidth="1"/>
    <col min="3589" max="3589" width="10.08984375" style="168" customWidth="1"/>
    <col min="3590" max="3590" width="6.08984375" style="168" customWidth="1"/>
    <col min="3591" max="3591" width="9.453125" style="168" customWidth="1"/>
    <col min="3592" max="3592" width="6.90625" style="168" customWidth="1"/>
    <col min="3593" max="3593" width="10.08984375" style="168" customWidth="1"/>
    <col min="3594" max="3594" width="10.54296875" style="168" customWidth="1"/>
    <col min="3595" max="3595" width="10.6328125" style="168" customWidth="1"/>
    <col min="3596" max="3840" width="7.81640625" style="168"/>
    <col min="3841" max="3841" width="3.81640625" style="168" customWidth="1"/>
    <col min="3842" max="3842" width="5.6328125" style="168" customWidth="1"/>
    <col min="3843" max="3843" width="9.08984375" style="168" customWidth="1"/>
    <col min="3844" max="3844" width="8.90625" style="168" customWidth="1"/>
    <col min="3845" max="3845" width="10.08984375" style="168" customWidth="1"/>
    <col min="3846" max="3846" width="6.08984375" style="168" customWidth="1"/>
    <col min="3847" max="3847" width="9.453125" style="168" customWidth="1"/>
    <col min="3848" max="3848" width="6.90625" style="168" customWidth="1"/>
    <col min="3849" max="3849" width="10.08984375" style="168" customWidth="1"/>
    <col min="3850" max="3850" width="10.54296875" style="168" customWidth="1"/>
    <col min="3851" max="3851" width="10.6328125" style="168" customWidth="1"/>
    <col min="3852" max="4096" width="7.81640625" style="168"/>
    <col min="4097" max="4097" width="3.81640625" style="168" customWidth="1"/>
    <col min="4098" max="4098" width="5.6328125" style="168" customWidth="1"/>
    <col min="4099" max="4099" width="9.08984375" style="168" customWidth="1"/>
    <col min="4100" max="4100" width="8.90625" style="168" customWidth="1"/>
    <col min="4101" max="4101" width="10.08984375" style="168" customWidth="1"/>
    <col min="4102" max="4102" width="6.08984375" style="168" customWidth="1"/>
    <col min="4103" max="4103" width="9.453125" style="168" customWidth="1"/>
    <col min="4104" max="4104" width="6.90625" style="168" customWidth="1"/>
    <col min="4105" max="4105" width="10.08984375" style="168" customWidth="1"/>
    <col min="4106" max="4106" width="10.54296875" style="168" customWidth="1"/>
    <col min="4107" max="4107" width="10.6328125" style="168" customWidth="1"/>
    <col min="4108" max="4352" width="7.81640625" style="168"/>
    <col min="4353" max="4353" width="3.81640625" style="168" customWidth="1"/>
    <col min="4354" max="4354" width="5.6328125" style="168" customWidth="1"/>
    <col min="4355" max="4355" width="9.08984375" style="168" customWidth="1"/>
    <col min="4356" max="4356" width="8.90625" style="168" customWidth="1"/>
    <col min="4357" max="4357" width="10.08984375" style="168" customWidth="1"/>
    <col min="4358" max="4358" width="6.08984375" style="168" customWidth="1"/>
    <col min="4359" max="4359" width="9.453125" style="168" customWidth="1"/>
    <col min="4360" max="4360" width="6.90625" style="168" customWidth="1"/>
    <col min="4361" max="4361" width="10.08984375" style="168" customWidth="1"/>
    <col min="4362" max="4362" width="10.54296875" style="168" customWidth="1"/>
    <col min="4363" max="4363" width="10.6328125" style="168" customWidth="1"/>
    <col min="4364" max="4608" width="7.81640625" style="168"/>
    <col min="4609" max="4609" width="3.81640625" style="168" customWidth="1"/>
    <col min="4610" max="4610" width="5.6328125" style="168" customWidth="1"/>
    <col min="4611" max="4611" width="9.08984375" style="168" customWidth="1"/>
    <col min="4612" max="4612" width="8.90625" style="168" customWidth="1"/>
    <col min="4613" max="4613" width="10.08984375" style="168" customWidth="1"/>
    <col min="4614" max="4614" width="6.08984375" style="168" customWidth="1"/>
    <col min="4615" max="4615" width="9.453125" style="168" customWidth="1"/>
    <col min="4616" max="4616" width="6.90625" style="168" customWidth="1"/>
    <col min="4617" max="4617" width="10.08984375" style="168" customWidth="1"/>
    <col min="4618" max="4618" width="10.54296875" style="168" customWidth="1"/>
    <col min="4619" max="4619" width="10.6328125" style="168" customWidth="1"/>
    <col min="4620" max="4864" width="7.81640625" style="168"/>
    <col min="4865" max="4865" width="3.81640625" style="168" customWidth="1"/>
    <col min="4866" max="4866" width="5.6328125" style="168" customWidth="1"/>
    <col min="4867" max="4867" width="9.08984375" style="168" customWidth="1"/>
    <col min="4868" max="4868" width="8.90625" style="168" customWidth="1"/>
    <col min="4869" max="4869" width="10.08984375" style="168" customWidth="1"/>
    <col min="4870" max="4870" width="6.08984375" style="168" customWidth="1"/>
    <col min="4871" max="4871" width="9.453125" style="168" customWidth="1"/>
    <col min="4872" max="4872" width="6.90625" style="168" customWidth="1"/>
    <col min="4873" max="4873" width="10.08984375" style="168" customWidth="1"/>
    <col min="4874" max="4874" width="10.54296875" style="168" customWidth="1"/>
    <col min="4875" max="4875" width="10.6328125" style="168" customWidth="1"/>
    <col min="4876" max="5120" width="7.81640625" style="168"/>
    <col min="5121" max="5121" width="3.81640625" style="168" customWidth="1"/>
    <col min="5122" max="5122" width="5.6328125" style="168" customWidth="1"/>
    <col min="5123" max="5123" width="9.08984375" style="168" customWidth="1"/>
    <col min="5124" max="5124" width="8.90625" style="168" customWidth="1"/>
    <col min="5125" max="5125" width="10.08984375" style="168" customWidth="1"/>
    <col min="5126" max="5126" width="6.08984375" style="168" customWidth="1"/>
    <col min="5127" max="5127" width="9.453125" style="168" customWidth="1"/>
    <col min="5128" max="5128" width="6.90625" style="168" customWidth="1"/>
    <col min="5129" max="5129" width="10.08984375" style="168" customWidth="1"/>
    <col min="5130" max="5130" width="10.54296875" style="168" customWidth="1"/>
    <col min="5131" max="5131" width="10.6328125" style="168" customWidth="1"/>
    <col min="5132" max="5376" width="7.81640625" style="168"/>
    <col min="5377" max="5377" width="3.81640625" style="168" customWidth="1"/>
    <col min="5378" max="5378" width="5.6328125" style="168" customWidth="1"/>
    <col min="5379" max="5379" width="9.08984375" style="168" customWidth="1"/>
    <col min="5380" max="5380" width="8.90625" style="168" customWidth="1"/>
    <col min="5381" max="5381" width="10.08984375" style="168" customWidth="1"/>
    <col min="5382" max="5382" width="6.08984375" style="168" customWidth="1"/>
    <col min="5383" max="5383" width="9.453125" style="168" customWidth="1"/>
    <col min="5384" max="5384" width="6.90625" style="168" customWidth="1"/>
    <col min="5385" max="5385" width="10.08984375" style="168" customWidth="1"/>
    <col min="5386" max="5386" width="10.54296875" style="168" customWidth="1"/>
    <col min="5387" max="5387" width="10.6328125" style="168" customWidth="1"/>
    <col min="5388" max="5632" width="7.81640625" style="168"/>
    <col min="5633" max="5633" width="3.81640625" style="168" customWidth="1"/>
    <col min="5634" max="5634" width="5.6328125" style="168" customWidth="1"/>
    <col min="5635" max="5635" width="9.08984375" style="168" customWidth="1"/>
    <col min="5636" max="5636" width="8.90625" style="168" customWidth="1"/>
    <col min="5637" max="5637" width="10.08984375" style="168" customWidth="1"/>
    <col min="5638" max="5638" width="6.08984375" style="168" customWidth="1"/>
    <col min="5639" max="5639" width="9.453125" style="168" customWidth="1"/>
    <col min="5640" max="5640" width="6.90625" style="168" customWidth="1"/>
    <col min="5641" max="5641" width="10.08984375" style="168" customWidth="1"/>
    <col min="5642" max="5642" width="10.54296875" style="168" customWidth="1"/>
    <col min="5643" max="5643" width="10.6328125" style="168" customWidth="1"/>
    <col min="5644" max="5888" width="7.81640625" style="168"/>
    <col min="5889" max="5889" width="3.81640625" style="168" customWidth="1"/>
    <col min="5890" max="5890" width="5.6328125" style="168" customWidth="1"/>
    <col min="5891" max="5891" width="9.08984375" style="168" customWidth="1"/>
    <col min="5892" max="5892" width="8.90625" style="168" customWidth="1"/>
    <col min="5893" max="5893" width="10.08984375" style="168" customWidth="1"/>
    <col min="5894" max="5894" width="6.08984375" style="168" customWidth="1"/>
    <col min="5895" max="5895" width="9.453125" style="168" customWidth="1"/>
    <col min="5896" max="5896" width="6.90625" style="168" customWidth="1"/>
    <col min="5897" max="5897" width="10.08984375" style="168" customWidth="1"/>
    <col min="5898" max="5898" width="10.54296875" style="168" customWidth="1"/>
    <col min="5899" max="5899" width="10.6328125" style="168" customWidth="1"/>
    <col min="5900" max="6144" width="7.81640625" style="168"/>
    <col min="6145" max="6145" width="3.81640625" style="168" customWidth="1"/>
    <col min="6146" max="6146" width="5.6328125" style="168" customWidth="1"/>
    <col min="6147" max="6147" width="9.08984375" style="168" customWidth="1"/>
    <col min="6148" max="6148" width="8.90625" style="168" customWidth="1"/>
    <col min="6149" max="6149" width="10.08984375" style="168" customWidth="1"/>
    <col min="6150" max="6150" width="6.08984375" style="168" customWidth="1"/>
    <col min="6151" max="6151" width="9.453125" style="168" customWidth="1"/>
    <col min="6152" max="6152" width="6.90625" style="168" customWidth="1"/>
    <col min="6153" max="6153" width="10.08984375" style="168" customWidth="1"/>
    <col min="6154" max="6154" width="10.54296875" style="168" customWidth="1"/>
    <col min="6155" max="6155" width="10.6328125" style="168" customWidth="1"/>
    <col min="6156" max="6400" width="7.81640625" style="168"/>
    <col min="6401" max="6401" width="3.81640625" style="168" customWidth="1"/>
    <col min="6402" max="6402" width="5.6328125" style="168" customWidth="1"/>
    <col min="6403" max="6403" width="9.08984375" style="168" customWidth="1"/>
    <col min="6404" max="6404" width="8.90625" style="168" customWidth="1"/>
    <col min="6405" max="6405" width="10.08984375" style="168" customWidth="1"/>
    <col min="6406" max="6406" width="6.08984375" style="168" customWidth="1"/>
    <col min="6407" max="6407" width="9.453125" style="168" customWidth="1"/>
    <col min="6408" max="6408" width="6.90625" style="168" customWidth="1"/>
    <col min="6409" max="6409" width="10.08984375" style="168" customWidth="1"/>
    <col min="6410" max="6410" width="10.54296875" style="168" customWidth="1"/>
    <col min="6411" max="6411" width="10.6328125" style="168" customWidth="1"/>
    <col min="6412" max="6656" width="7.81640625" style="168"/>
    <col min="6657" max="6657" width="3.81640625" style="168" customWidth="1"/>
    <col min="6658" max="6658" width="5.6328125" style="168" customWidth="1"/>
    <col min="6659" max="6659" width="9.08984375" style="168" customWidth="1"/>
    <col min="6660" max="6660" width="8.90625" style="168" customWidth="1"/>
    <col min="6661" max="6661" width="10.08984375" style="168" customWidth="1"/>
    <col min="6662" max="6662" width="6.08984375" style="168" customWidth="1"/>
    <col min="6663" max="6663" width="9.453125" style="168" customWidth="1"/>
    <col min="6664" max="6664" width="6.90625" style="168" customWidth="1"/>
    <col min="6665" max="6665" width="10.08984375" style="168" customWidth="1"/>
    <col min="6666" max="6666" width="10.54296875" style="168" customWidth="1"/>
    <col min="6667" max="6667" width="10.6328125" style="168" customWidth="1"/>
    <col min="6668" max="6912" width="7.81640625" style="168"/>
    <col min="6913" max="6913" width="3.81640625" style="168" customWidth="1"/>
    <col min="6914" max="6914" width="5.6328125" style="168" customWidth="1"/>
    <col min="6915" max="6915" width="9.08984375" style="168" customWidth="1"/>
    <col min="6916" max="6916" width="8.90625" style="168" customWidth="1"/>
    <col min="6917" max="6917" width="10.08984375" style="168" customWidth="1"/>
    <col min="6918" max="6918" width="6.08984375" style="168" customWidth="1"/>
    <col min="6919" max="6919" width="9.453125" style="168" customWidth="1"/>
    <col min="6920" max="6920" width="6.90625" style="168" customWidth="1"/>
    <col min="6921" max="6921" width="10.08984375" style="168" customWidth="1"/>
    <col min="6922" max="6922" width="10.54296875" style="168" customWidth="1"/>
    <col min="6923" max="6923" width="10.6328125" style="168" customWidth="1"/>
    <col min="6924" max="7168" width="7.81640625" style="168"/>
    <col min="7169" max="7169" width="3.81640625" style="168" customWidth="1"/>
    <col min="7170" max="7170" width="5.6328125" style="168" customWidth="1"/>
    <col min="7171" max="7171" width="9.08984375" style="168" customWidth="1"/>
    <col min="7172" max="7172" width="8.90625" style="168" customWidth="1"/>
    <col min="7173" max="7173" width="10.08984375" style="168" customWidth="1"/>
    <col min="7174" max="7174" width="6.08984375" style="168" customWidth="1"/>
    <col min="7175" max="7175" width="9.453125" style="168" customWidth="1"/>
    <col min="7176" max="7176" width="6.90625" style="168" customWidth="1"/>
    <col min="7177" max="7177" width="10.08984375" style="168" customWidth="1"/>
    <col min="7178" max="7178" width="10.54296875" style="168" customWidth="1"/>
    <col min="7179" max="7179" width="10.6328125" style="168" customWidth="1"/>
    <col min="7180" max="7424" width="7.81640625" style="168"/>
    <col min="7425" max="7425" width="3.81640625" style="168" customWidth="1"/>
    <col min="7426" max="7426" width="5.6328125" style="168" customWidth="1"/>
    <col min="7427" max="7427" width="9.08984375" style="168" customWidth="1"/>
    <col min="7428" max="7428" width="8.90625" style="168" customWidth="1"/>
    <col min="7429" max="7429" width="10.08984375" style="168" customWidth="1"/>
    <col min="7430" max="7430" width="6.08984375" style="168" customWidth="1"/>
    <col min="7431" max="7431" width="9.453125" style="168" customWidth="1"/>
    <col min="7432" max="7432" width="6.90625" style="168" customWidth="1"/>
    <col min="7433" max="7433" width="10.08984375" style="168" customWidth="1"/>
    <col min="7434" max="7434" width="10.54296875" style="168" customWidth="1"/>
    <col min="7435" max="7435" width="10.6328125" style="168" customWidth="1"/>
    <col min="7436" max="7680" width="7.81640625" style="168"/>
    <col min="7681" max="7681" width="3.81640625" style="168" customWidth="1"/>
    <col min="7682" max="7682" width="5.6328125" style="168" customWidth="1"/>
    <col min="7683" max="7683" width="9.08984375" style="168" customWidth="1"/>
    <col min="7684" max="7684" width="8.90625" style="168" customWidth="1"/>
    <col min="7685" max="7685" width="10.08984375" style="168" customWidth="1"/>
    <col min="7686" max="7686" width="6.08984375" style="168" customWidth="1"/>
    <col min="7687" max="7687" width="9.453125" style="168" customWidth="1"/>
    <col min="7688" max="7688" width="6.90625" style="168" customWidth="1"/>
    <col min="7689" max="7689" width="10.08984375" style="168" customWidth="1"/>
    <col min="7690" max="7690" width="10.54296875" style="168" customWidth="1"/>
    <col min="7691" max="7691" width="10.6328125" style="168" customWidth="1"/>
    <col min="7692" max="7936" width="7.81640625" style="168"/>
    <col min="7937" max="7937" width="3.81640625" style="168" customWidth="1"/>
    <col min="7938" max="7938" width="5.6328125" style="168" customWidth="1"/>
    <col min="7939" max="7939" width="9.08984375" style="168" customWidth="1"/>
    <col min="7940" max="7940" width="8.90625" style="168" customWidth="1"/>
    <col min="7941" max="7941" width="10.08984375" style="168" customWidth="1"/>
    <col min="7942" max="7942" width="6.08984375" style="168" customWidth="1"/>
    <col min="7943" max="7943" width="9.453125" style="168" customWidth="1"/>
    <col min="7944" max="7944" width="6.90625" style="168" customWidth="1"/>
    <col min="7945" max="7945" width="10.08984375" style="168" customWidth="1"/>
    <col min="7946" max="7946" width="10.54296875" style="168" customWidth="1"/>
    <col min="7947" max="7947" width="10.6328125" style="168" customWidth="1"/>
    <col min="7948" max="8192" width="7.81640625" style="168"/>
    <col min="8193" max="8193" width="3.81640625" style="168" customWidth="1"/>
    <col min="8194" max="8194" width="5.6328125" style="168" customWidth="1"/>
    <col min="8195" max="8195" width="9.08984375" style="168" customWidth="1"/>
    <col min="8196" max="8196" width="8.90625" style="168" customWidth="1"/>
    <col min="8197" max="8197" width="10.08984375" style="168" customWidth="1"/>
    <col min="8198" max="8198" width="6.08984375" style="168" customWidth="1"/>
    <col min="8199" max="8199" width="9.453125" style="168" customWidth="1"/>
    <col min="8200" max="8200" width="6.90625" style="168" customWidth="1"/>
    <col min="8201" max="8201" width="10.08984375" style="168" customWidth="1"/>
    <col min="8202" max="8202" width="10.54296875" style="168" customWidth="1"/>
    <col min="8203" max="8203" width="10.6328125" style="168" customWidth="1"/>
    <col min="8204" max="8448" width="7.81640625" style="168"/>
    <col min="8449" max="8449" width="3.81640625" style="168" customWidth="1"/>
    <col min="8450" max="8450" width="5.6328125" style="168" customWidth="1"/>
    <col min="8451" max="8451" width="9.08984375" style="168" customWidth="1"/>
    <col min="8452" max="8452" width="8.90625" style="168" customWidth="1"/>
    <col min="8453" max="8453" width="10.08984375" style="168" customWidth="1"/>
    <col min="8454" max="8454" width="6.08984375" style="168" customWidth="1"/>
    <col min="8455" max="8455" width="9.453125" style="168" customWidth="1"/>
    <col min="8456" max="8456" width="6.90625" style="168" customWidth="1"/>
    <col min="8457" max="8457" width="10.08984375" style="168" customWidth="1"/>
    <col min="8458" max="8458" width="10.54296875" style="168" customWidth="1"/>
    <col min="8459" max="8459" width="10.6328125" style="168" customWidth="1"/>
    <col min="8460" max="8704" width="7.81640625" style="168"/>
    <col min="8705" max="8705" width="3.81640625" style="168" customWidth="1"/>
    <col min="8706" max="8706" width="5.6328125" style="168" customWidth="1"/>
    <col min="8707" max="8707" width="9.08984375" style="168" customWidth="1"/>
    <col min="8708" max="8708" width="8.90625" style="168" customWidth="1"/>
    <col min="8709" max="8709" width="10.08984375" style="168" customWidth="1"/>
    <col min="8710" max="8710" width="6.08984375" style="168" customWidth="1"/>
    <col min="8711" max="8711" width="9.453125" style="168" customWidth="1"/>
    <col min="8712" max="8712" width="6.90625" style="168" customWidth="1"/>
    <col min="8713" max="8713" width="10.08984375" style="168" customWidth="1"/>
    <col min="8714" max="8714" width="10.54296875" style="168" customWidth="1"/>
    <col min="8715" max="8715" width="10.6328125" style="168" customWidth="1"/>
    <col min="8716" max="8960" width="7.81640625" style="168"/>
    <col min="8961" max="8961" width="3.81640625" style="168" customWidth="1"/>
    <col min="8962" max="8962" width="5.6328125" style="168" customWidth="1"/>
    <col min="8963" max="8963" width="9.08984375" style="168" customWidth="1"/>
    <col min="8964" max="8964" width="8.90625" style="168" customWidth="1"/>
    <col min="8965" max="8965" width="10.08984375" style="168" customWidth="1"/>
    <col min="8966" max="8966" width="6.08984375" style="168" customWidth="1"/>
    <col min="8967" max="8967" width="9.453125" style="168" customWidth="1"/>
    <col min="8968" max="8968" width="6.90625" style="168" customWidth="1"/>
    <col min="8969" max="8969" width="10.08984375" style="168" customWidth="1"/>
    <col min="8970" max="8970" width="10.54296875" style="168" customWidth="1"/>
    <col min="8971" max="8971" width="10.6328125" style="168" customWidth="1"/>
    <col min="8972" max="9216" width="7.81640625" style="168"/>
    <col min="9217" max="9217" width="3.81640625" style="168" customWidth="1"/>
    <col min="9218" max="9218" width="5.6328125" style="168" customWidth="1"/>
    <col min="9219" max="9219" width="9.08984375" style="168" customWidth="1"/>
    <col min="9220" max="9220" width="8.90625" style="168" customWidth="1"/>
    <col min="9221" max="9221" width="10.08984375" style="168" customWidth="1"/>
    <col min="9222" max="9222" width="6.08984375" style="168" customWidth="1"/>
    <col min="9223" max="9223" width="9.453125" style="168" customWidth="1"/>
    <col min="9224" max="9224" width="6.90625" style="168" customWidth="1"/>
    <col min="9225" max="9225" width="10.08984375" style="168" customWidth="1"/>
    <col min="9226" max="9226" width="10.54296875" style="168" customWidth="1"/>
    <col min="9227" max="9227" width="10.6328125" style="168" customWidth="1"/>
    <col min="9228" max="9472" width="7.81640625" style="168"/>
    <col min="9473" max="9473" width="3.81640625" style="168" customWidth="1"/>
    <col min="9474" max="9474" width="5.6328125" style="168" customWidth="1"/>
    <col min="9475" max="9475" width="9.08984375" style="168" customWidth="1"/>
    <col min="9476" max="9476" width="8.90625" style="168" customWidth="1"/>
    <col min="9477" max="9477" width="10.08984375" style="168" customWidth="1"/>
    <col min="9478" max="9478" width="6.08984375" style="168" customWidth="1"/>
    <col min="9479" max="9479" width="9.453125" style="168" customWidth="1"/>
    <col min="9480" max="9480" width="6.90625" style="168" customWidth="1"/>
    <col min="9481" max="9481" width="10.08984375" style="168" customWidth="1"/>
    <col min="9482" max="9482" width="10.54296875" style="168" customWidth="1"/>
    <col min="9483" max="9483" width="10.6328125" style="168" customWidth="1"/>
    <col min="9484" max="9728" width="7.81640625" style="168"/>
    <col min="9729" max="9729" width="3.81640625" style="168" customWidth="1"/>
    <col min="9730" max="9730" width="5.6328125" style="168" customWidth="1"/>
    <col min="9731" max="9731" width="9.08984375" style="168" customWidth="1"/>
    <col min="9732" max="9732" width="8.90625" style="168" customWidth="1"/>
    <col min="9733" max="9733" width="10.08984375" style="168" customWidth="1"/>
    <col min="9734" max="9734" width="6.08984375" style="168" customWidth="1"/>
    <col min="9735" max="9735" width="9.453125" style="168" customWidth="1"/>
    <col min="9736" max="9736" width="6.90625" style="168" customWidth="1"/>
    <col min="9737" max="9737" width="10.08984375" style="168" customWidth="1"/>
    <col min="9738" max="9738" width="10.54296875" style="168" customWidth="1"/>
    <col min="9739" max="9739" width="10.6328125" style="168" customWidth="1"/>
    <col min="9740" max="9984" width="7.81640625" style="168"/>
    <col min="9985" max="9985" width="3.81640625" style="168" customWidth="1"/>
    <col min="9986" max="9986" width="5.6328125" style="168" customWidth="1"/>
    <col min="9987" max="9987" width="9.08984375" style="168" customWidth="1"/>
    <col min="9988" max="9988" width="8.90625" style="168" customWidth="1"/>
    <col min="9989" max="9989" width="10.08984375" style="168" customWidth="1"/>
    <col min="9990" max="9990" width="6.08984375" style="168" customWidth="1"/>
    <col min="9991" max="9991" width="9.453125" style="168" customWidth="1"/>
    <col min="9992" max="9992" width="6.90625" style="168" customWidth="1"/>
    <col min="9993" max="9993" width="10.08984375" style="168" customWidth="1"/>
    <col min="9994" max="9994" width="10.54296875" style="168" customWidth="1"/>
    <col min="9995" max="9995" width="10.6328125" style="168" customWidth="1"/>
    <col min="9996" max="10240" width="7.81640625" style="168"/>
    <col min="10241" max="10241" width="3.81640625" style="168" customWidth="1"/>
    <col min="10242" max="10242" width="5.6328125" style="168" customWidth="1"/>
    <col min="10243" max="10243" width="9.08984375" style="168" customWidth="1"/>
    <col min="10244" max="10244" width="8.90625" style="168" customWidth="1"/>
    <col min="10245" max="10245" width="10.08984375" style="168" customWidth="1"/>
    <col min="10246" max="10246" width="6.08984375" style="168" customWidth="1"/>
    <col min="10247" max="10247" width="9.453125" style="168" customWidth="1"/>
    <col min="10248" max="10248" width="6.90625" style="168" customWidth="1"/>
    <col min="10249" max="10249" width="10.08984375" style="168" customWidth="1"/>
    <col min="10250" max="10250" width="10.54296875" style="168" customWidth="1"/>
    <col min="10251" max="10251" width="10.6328125" style="168" customWidth="1"/>
    <col min="10252" max="10496" width="7.81640625" style="168"/>
    <col min="10497" max="10497" width="3.81640625" style="168" customWidth="1"/>
    <col min="10498" max="10498" width="5.6328125" style="168" customWidth="1"/>
    <col min="10499" max="10499" width="9.08984375" style="168" customWidth="1"/>
    <col min="10500" max="10500" width="8.90625" style="168" customWidth="1"/>
    <col min="10501" max="10501" width="10.08984375" style="168" customWidth="1"/>
    <col min="10502" max="10502" width="6.08984375" style="168" customWidth="1"/>
    <col min="10503" max="10503" width="9.453125" style="168" customWidth="1"/>
    <col min="10504" max="10504" width="6.90625" style="168" customWidth="1"/>
    <col min="10505" max="10505" width="10.08984375" style="168" customWidth="1"/>
    <col min="10506" max="10506" width="10.54296875" style="168" customWidth="1"/>
    <col min="10507" max="10507" width="10.6328125" style="168" customWidth="1"/>
    <col min="10508" max="10752" width="7.81640625" style="168"/>
    <col min="10753" max="10753" width="3.81640625" style="168" customWidth="1"/>
    <col min="10754" max="10754" width="5.6328125" style="168" customWidth="1"/>
    <col min="10755" max="10755" width="9.08984375" style="168" customWidth="1"/>
    <col min="10756" max="10756" width="8.90625" style="168" customWidth="1"/>
    <col min="10757" max="10757" width="10.08984375" style="168" customWidth="1"/>
    <col min="10758" max="10758" width="6.08984375" style="168" customWidth="1"/>
    <col min="10759" max="10759" width="9.453125" style="168" customWidth="1"/>
    <col min="10760" max="10760" width="6.90625" style="168" customWidth="1"/>
    <col min="10761" max="10761" width="10.08984375" style="168" customWidth="1"/>
    <col min="10762" max="10762" width="10.54296875" style="168" customWidth="1"/>
    <col min="10763" max="10763" width="10.6328125" style="168" customWidth="1"/>
    <col min="10764" max="11008" width="7.81640625" style="168"/>
    <col min="11009" max="11009" width="3.81640625" style="168" customWidth="1"/>
    <col min="11010" max="11010" width="5.6328125" style="168" customWidth="1"/>
    <col min="11011" max="11011" width="9.08984375" style="168" customWidth="1"/>
    <col min="11012" max="11012" width="8.90625" style="168" customWidth="1"/>
    <col min="11013" max="11013" width="10.08984375" style="168" customWidth="1"/>
    <col min="11014" max="11014" width="6.08984375" style="168" customWidth="1"/>
    <col min="11015" max="11015" width="9.453125" style="168" customWidth="1"/>
    <col min="11016" max="11016" width="6.90625" style="168" customWidth="1"/>
    <col min="11017" max="11017" width="10.08984375" style="168" customWidth="1"/>
    <col min="11018" max="11018" width="10.54296875" style="168" customWidth="1"/>
    <col min="11019" max="11019" width="10.6328125" style="168" customWidth="1"/>
    <col min="11020" max="11264" width="7.81640625" style="168"/>
    <col min="11265" max="11265" width="3.81640625" style="168" customWidth="1"/>
    <col min="11266" max="11266" width="5.6328125" style="168" customWidth="1"/>
    <col min="11267" max="11267" width="9.08984375" style="168" customWidth="1"/>
    <col min="11268" max="11268" width="8.90625" style="168" customWidth="1"/>
    <col min="11269" max="11269" width="10.08984375" style="168" customWidth="1"/>
    <col min="11270" max="11270" width="6.08984375" style="168" customWidth="1"/>
    <col min="11271" max="11271" width="9.453125" style="168" customWidth="1"/>
    <col min="11272" max="11272" width="6.90625" style="168" customWidth="1"/>
    <col min="11273" max="11273" width="10.08984375" style="168" customWidth="1"/>
    <col min="11274" max="11274" width="10.54296875" style="168" customWidth="1"/>
    <col min="11275" max="11275" width="10.6328125" style="168" customWidth="1"/>
    <col min="11276" max="11520" width="7.81640625" style="168"/>
    <col min="11521" max="11521" width="3.81640625" style="168" customWidth="1"/>
    <col min="11522" max="11522" width="5.6328125" style="168" customWidth="1"/>
    <col min="11523" max="11523" width="9.08984375" style="168" customWidth="1"/>
    <col min="11524" max="11524" width="8.90625" style="168" customWidth="1"/>
    <col min="11525" max="11525" width="10.08984375" style="168" customWidth="1"/>
    <col min="11526" max="11526" width="6.08984375" style="168" customWidth="1"/>
    <col min="11527" max="11527" width="9.453125" style="168" customWidth="1"/>
    <col min="11528" max="11528" width="6.90625" style="168" customWidth="1"/>
    <col min="11529" max="11529" width="10.08984375" style="168" customWidth="1"/>
    <col min="11530" max="11530" width="10.54296875" style="168" customWidth="1"/>
    <col min="11531" max="11531" width="10.6328125" style="168" customWidth="1"/>
    <col min="11532" max="11776" width="7.81640625" style="168"/>
    <col min="11777" max="11777" width="3.81640625" style="168" customWidth="1"/>
    <col min="11778" max="11778" width="5.6328125" style="168" customWidth="1"/>
    <col min="11779" max="11779" width="9.08984375" style="168" customWidth="1"/>
    <col min="11780" max="11780" width="8.90625" style="168" customWidth="1"/>
    <col min="11781" max="11781" width="10.08984375" style="168" customWidth="1"/>
    <col min="11782" max="11782" width="6.08984375" style="168" customWidth="1"/>
    <col min="11783" max="11783" width="9.453125" style="168" customWidth="1"/>
    <col min="11784" max="11784" width="6.90625" style="168" customWidth="1"/>
    <col min="11785" max="11785" width="10.08984375" style="168" customWidth="1"/>
    <col min="11786" max="11786" width="10.54296875" style="168" customWidth="1"/>
    <col min="11787" max="11787" width="10.6328125" style="168" customWidth="1"/>
    <col min="11788" max="12032" width="7.81640625" style="168"/>
    <col min="12033" max="12033" width="3.81640625" style="168" customWidth="1"/>
    <col min="12034" max="12034" width="5.6328125" style="168" customWidth="1"/>
    <col min="12035" max="12035" width="9.08984375" style="168" customWidth="1"/>
    <col min="12036" max="12036" width="8.90625" style="168" customWidth="1"/>
    <col min="12037" max="12037" width="10.08984375" style="168" customWidth="1"/>
    <col min="12038" max="12038" width="6.08984375" style="168" customWidth="1"/>
    <col min="12039" max="12039" width="9.453125" style="168" customWidth="1"/>
    <col min="12040" max="12040" width="6.90625" style="168" customWidth="1"/>
    <col min="12041" max="12041" width="10.08984375" style="168" customWidth="1"/>
    <col min="12042" max="12042" width="10.54296875" style="168" customWidth="1"/>
    <col min="12043" max="12043" width="10.6328125" style="168" customWidth="1"/>
    <col min="12044" max="12288" width="7.81640625" style="168"/>
    <col min="12289" max="12289" width="3.81640625" style="168" customWidth="1"/>
    <col min="12290" max="12290" width="5.6328125" style="168" customWidth="1"/>
    <col min="12291" max="12291" width="9.08984375" style="168" customWidth="1"/>
    <col min="12292" max="12292" width="8.90625" style="168" customWidth="1"/>
    <col min="12293" max="12293" width="10.08984375" style="168" customWidth="1"/>
    <col min="12294" max="12294" width="6.08984375" style="168" customWidth="1"/>
    <col min="12295" max="12295" width="9.453125" style="168" customWidth="1"/>
    <col min="12296" max="12296" width="6.90625" style="168" customWidth="1"/>
    <col min="12297" max="12297" width="10.08984375" style="168" customWidth="1"/>
    <col min="12298" max="12298" width="10.54296875" style="168" customWidth="1"/>
    <col min="12299" max="12299" width="10.6328125" style="168" customWidth="1"/>
    <col min="12300" max="12544" width="7.81640625" style="168"/>
    <col min="12545" max="12545" width="3.81640625" style="168" customWidth="1"/>
    <col min="12546" max="12546" width="5.6328125" style="168" customWidth="1"/>
    <col min="12547" max="12547" width="9.08984375" style="168" customWidth="1"/>
    <col min="12548" max="12548" width="8.90625" style="168" customWidth="1"/>
    <col min="12549" max="12549" width="10.08984375" style="168" customWidth="1"/>
    <col min="12550" max="12550" width="6.08984375" style="168" customWidth="1"/>
    <col min="12551" max="12551" width="9.453125" style="168" customWidth="1"/>
    <col min="12552" max="12552" width="6.90625" style="168" customWidth="1"/>
    <col min="12553" max="12553" width="10.08984375" style="168" customWidth="1"/>
    <col min="12554" max="12554" width="10.54296875" style="168" customWidth="1"/>
    <col min="12555" max="12555" width="10.6328125" style="168" customWidth="1"/>
    <col min="12556" max="12800" width="7.81640625" style="168"/>
    <col min="12801" max="12801" width="3.81640625" style="168" customWidth="1"/>
    <col min="12802" max="12802" width="5.6328125" style="168" customWidth="1"/>
    <col min="12803" max="12803" width="9.08984375" style="168" customWidth="1"/>
    <col min="12804" max="12804" width="8.90625" style="168" customWidth="1"/>
    <col min="12805" max="12805" width="10.08984375" style="168" customWidth="1"/>
    <col min="12806" max="12806" width="6.08984375" style="168" customWidth="1"/>
    <col min="12807" max="12807" width="9.453125" style="168" customWidth="1"/>
    <col min="12808" max="12808" width="6.90625" style="168" customWidth="1"/>
    <col min="12809" max="12809" width="10.08984375" style="168" customWidth="1"/>
    <col min="12810" max="12810" width="10.54296875" style="168" customWidth="1"/>
    <col min="12811" max="12811" width="10.6328125" style="168" customWidth="1"/>
    <col min="12812" max="13056" width="7.81640625" style="168"/>
    <col min="13057" max="13057" width="3.81640625" style="168" customWidth="1"/>
    <col min="13058" max="13058" width="5.6328125" style="168" customWidth="1"/>
    <col min="13059" max="13059" width="9.08984375" style="168" customWidth="1"/>
    <col min="13060" max="13060" width="8.90625" style="168" customWidth="1"/>
    <col min="13061" max="13061" width="10.08984375" style="168" customWidth="1"/>
    <col min="13062" max="13062" width="6.08984375" style="168" customWidth="1"/>
    <col min="13063" max="13063" width="9.453125" style="168" customWidth="1"/>
    <col min="13064" max="13064" width="6.90625" style="168" customWidth="1"/>
    <col min="13065" max="13065" width="10.08984375" style="168" customWidth="1"/>
    <col min="13066" max="13066" width="10.54296875" style="168" customWidth="1"/>
    <col min="13067" max="13067" width="10.6328125" style="168" customWidth="1"/>
    <col min="13068" max="13312" width="7.81640625" style="168"/>
    <col min="13313" max="13313" width="3.81640625" style="168" customWidth="1"/>
    <col min="13314" max="13314" width="5.6328125" style="168" customWidth="1"/>
    <col min="13315" max="13315" width="9.08984375" style="168" customWidth="1"/>
    <col min="13316" max="13316" width="8.90625" style="168" customWidth="1"/>
    <col min="13317" max="13317" width="10.08984375" style="168" customWidth="1"/>
    <col min="13318" max="13318" width="6.08984375" style="168" customWidth="1"/>
    <col min="13319" max="13319" width="9.453125" style="168" customWidth="1"/>
    <col min="13320" max="13320" width="6.90625" style="168" customWidth="1"/>
    <col min="13321" max="13321" width="10.08984375" style="168" customWidth="1"/>
    <col min="13322" max="13322" width="10.54296875" style="168" customWidth="1"/>
    <col min="13323" max="13323" width="10.6328125" style="168" customWidth="1"/>
    <col min="13324" max="13568" width="7.81640625" style="168"/>
    <col min="13569" max="13569" width="3.81640625" style="168" customWidth="1"/>
    <col min="13570" max="13570" width="5.6328125" style="168" customWidth="1"/>
    <col min="13571" max="13571" width="9.08984375" style="168" customWidth="1"/>
    <col min="13572" max="13572" width="8.90625" style="168" customWidth="1"/>
    <col min="13573" max="13573" width="10.08984375" style="168" customWidth="1"/>
    <col min="13574" max="13574" width="6.08984375" style="168" customWidth="1"/>
    <col min="13575" max="13575" width="9.453125" style="168" customWidth="1"/>
    <col min="13576" max="13576" width="6.90625" style="168" customWidth="1"/>
    <col min="13577" max="13577" width="10.08984375" style="168" customWidth="1"/>
    <col min="13578" max="13578" width="10.54296875" style="168" customWidth="1"/>
    <col min="13579" max="13579" width="10.6328125" style="168" customWidth="1"/>
    <col min="13580" max="13824" width="7.81640625" style="168"/>
    <col min="13825" max="13825" width="3.81640625" style="168" customWidth="1"/>
    <col min="13826" max="13826" width="5.6328125" style="168" customWidth="1"/>
    <col min="13827" max="13827" width="9.08984375" style="168" customWidth="1"/>
    <col min="13828" max="13828" width="8.90625" style="168" customWidth="1"/>
    <col min="13829" max="13829" width="10.08984375" style="168" customWidth="1"/>
    <col min="13830" max="13830" width="6.08984375" style="168" customWidth="1"/>
    <col min="13831" max="13831" width="9.453125" style="168" customWidth="1"/>
    <col min="13832" max="13832" width="6.90625" style="168" customWidth="1"/>
    <col min="13833" max="13833" width="10.08984375" style="168" customWidth="1"/>
    <col min="13834" max="13834" width="10.54296875" style="168" customWidth="1"/>
    <col min="13835" max="13835" width="10.6328125" style="168" customWidth="1"/>
    <col min="13836" max="14080" width="7.81640625" style="168"/>
    <col min="14081" max="14081" width="3.81640625" style="168" customWidth="1"/>
    <col min="14082" max="14082" width="5.6328125" style="168" customWidth="1"/>
    <col min="14083" max="14083" width="9.08984375" style="168" customWidth="1"/>
    <col min="14084" max="14084" width="8.90625" style="168" customWidth="1"/>
    <col min="14085" max="14085" width="10.08984375" style="168" customWidth="1"/>
    <col min="14086" max="14086" width="6.08984375" style="168" customWidth="1"/>
    <col min="14087" max="14087" width="9.453125" style="168" customWidth="1"/>
    <col min="14088" max="14088" width="6.90625" style="168" customWidth="1"/>
    <col min="14089" max="14089" width="10.08984375" style="168" customWidth="1"/>
    <col min="14090" max="14090" width="10.54296875" style="168" customWidth="1"/>
    <col min="14091" max="14091" width="10.6328125" style="168" customWidth="1"/>
    <col min="14092" max="14336" width="7.81640625" style="168"/>
    <col min="14337" max="14337" width="3.81640625" style="168" customWidth="1"/>
    <col min="14338" max="14338" width="5.6328125" style="168" customWidth="1"/>
    <col min="14339" max="14339" width="9.08984375" style="168" customWidth="1"/>
    <col min="14340" max="14340" width="8.90625" style="168" customWidth="1"/>
    <col min="14341" max="14341" width="10.08984375" style="168" customWidth="1"/>
    <col min="14342" max="14342" width="6.08984375" style="168" customWidth="1"/>
    <col min="14343" max="14343" width="9.453125" style="168" customWidth="1"/>
    <col min="14344" max="14344" width="6.90625" style="168" customWidth="1"/>
    <col min="14345" max="14345" width="10.08984375" style="168" customWidth="1"/>
    <col min="14346" max="14346" width="10.54296875" style="168" customWidth="1"/>
    <col min="14347" max="14347" width="10.6328125" style="168" customWidth="1"/>
    <col min="14348" max="14592" width="7.81640625" style="168"/>
    <col min="14593" max="14593" width="3.81640625" style="168" customWidth="1"/>
    <col min="14594" max="14594" width="5.6328125" style="168" customWidth="1"/>
    <col min="14595" max="14595" width="9.08984375" style="168" customWidth="1"/>
    <col min="14596" max="14596" width="8.90625" style="168" customWidth="1"/>
    <col min="14597" max="14597" width="10.08984375" style="168" customWidth="1"/>
    <col min="14598" max="14598" width="6.08984375" style="168" customWidth="1"/>
    <col min="14599" max="14599" width="9.453125" style="168" customWidth="1"/>
    <col min="14600" max="14600" width="6.90625" style="168" customWidth="1"/>
    <col min="14601" max="14601" width="10.08984375" style="168" customWidth="1"/>
    <col min="14602" max="14602" width="10.54296875" style="168" customWidth="1"/>
    <col min="14603" max="14603" width="10.6328125" style="168" customWidth="1"/>
    <col min="14604" max="14848" width="7.81640625" style="168"/>
    <col min="14849" max="14849" width="3.81640625" style="168" customWidth="1"/>
    <col min="14850" max="14850" width="5.6328125" style="168" customWidth="1"/>
    <col min="14851" max="14851" width="9.08984375" style="168" customWidth="1"/>
    <col min="14852" max="14852" width="8.90625" style="168" customWidth="1"/>
    <col min="14853" max="14853" width="10.08984375" style="168" customWidth="1"/>
    <col min="14854" max="14854" width="6.08984375" style="168" customWidth="1"/>
    <col min="14855" max="14855" width="9.453125" style="168" customWidth="1"/>
    <col min="14856" max="14856" width="6.90625" style="168" customWidth="1"/>
    <col min="14857" max="14857" width="10.08984375" style="168" customWidth="1"/>
    <col min="14858" max="14858" width="10.54296875" style="168" customWidth="1"/>
    <col min="14859" max="14859" width="10.6328125" style="168" customWidth="1"/>
    <col min="14860" max="15104" width="7.81640625" style="168"/>
    <col min="15105" max="15105" width="3.81640625" style="168" customWidth="1"/>
    <col min="15106" max="15106" width="5.6328125" style="168" customWidth="1"/>
    <col min="15107" max="15107" width="9.08984375" style="168" customWidth="1"/>
    <col min="15108" max="15108" width="8.90625" style="168" customWidth="1"/>
    <col min="15109" max="15109" width="10.08984375" style="168" customWidth="1"/>
    <col min="15110" max="15110" width="6.08984375" style="168" customWidth="1"/>
    <col min="15111" max="15111" width="9.453125" style="168" customWidth="1"/>
    <col min="15112" max="15112" width="6.90625" style="168" customWidth="1"/>
    <col min="15113" max="15113" width="10.08984375" style="168" customWidth="1"/>
    <col min="15114" max="15114" width="10.54296875" style="168" customWidth="1"/>
    <col min="15115" max="15115" width="10.6328125" style="168" customWidth="1"/>
    <col min="15116" max="15360" width="7.81640625" style="168"/>
    <col min="15361" max="15361" width="3.81640625" style="168" customWidth="1"/>
    <col min="15362" max="15362" width="5.6328125" style="168" customWidth="1"/>
    <col min="15363" max="15363" width="9.08984375" style="168" customWidth="1"/>
    <col min="15364" max="15364" width="8.90625" style="168" customWidth="1"/>
    <col min="15365" max="15365" width="10.08984375" style="168" customWidth="1"/>
    <col min="15366" max="15366" width="6.08984375" style="168" customWidth="1"/>
    <col min="15367" max="15367" width="9.453125" style="168" customWidth="1"/>
    <col min="15368" max="15368" width="6.90625" style="168" customWidth="1"/>
    <col min="15369" max="15369" width="10.08984375" style="168" customWidth="1"/>
    <col min="15370" max="15370" width="10.54296875" style="168" customWidth="1"/>
    <col min="15371" max="15371" width="10.6328125" style="168" customWidth="1"/>
    <col min="15372" max="15616" width="7.81640625" style="168"/>
    <col min="15617" max="15617" width="3.81640625" style="168" customWidth="1"/>
    <col min="15618" max="15618" width="5.6328125" style="168" customWidth="1"/>
    <col min="15619" max="15619" width="9.08984375" style="168" customWidth="1"/>
    <col min="15620" max="15620" width="8.90625" style="168" customWidth="1"/>
    <col min="15621" max="15621" width="10.08984375" style="168" customWidth="1"/>
    <col min="15622" max="15622" width="6.08984375" style="168" customWidth="1"/>
    <col min="15623" max="15623" width="9.453125" style="168" customWidth="1"/>
    <col min="15624" max="15624" width="6.90625" style="168" customWidth="1"/>
    <col min="15625" max="15625" width="10.08984375" style="168" customWidth="1"/>
    <col min="15626" max="15626" width="10.54296875" style="168" customWidth="1"/>
    <col min="15627" max="15627" width="10.6328125" style="168" customWidth="1"/>
    <col min="15628" max="15872" width="7.81640625" style="168"/>
    <col min="15873" max="15873" width="3.81640625" style="168" customWidth="1"/>
    <col min="15874" max="15874" width="5.6328125" style="168" customWidth="1"/>
    <col min="15875" max="15875" width="9.08984375" style="168" customWidth="1"/>
    <col min="15876" max="15876" width="8.90625" style="168" customWidth="1"/>
    <col min="15877" max="15877" width="10.08984375" style="168" customWidth="1"/>
    <col min="15878" max="15878" width="6.08984375" style="168" customWidth="1"/>
    <col min="15879" max="15879" width="9.453125" style="168" customWidth="1"/>
    <col min="15880" max="15880" width="6.90625" style="168" customWidth="1"/>
    <col min="15881" max="15881" width="10.08984375" style="168" customWidth="1"/>
    <col min="15882" max="15882" width="10.54296875" style="168" customWidth="1"/>
    <col min="15883" max="15883" width="10.6328125" style="168" customWidth="1"/>
    <col min="15884" max="16128" width="7.81640625" style="168"/>
    <col min="16129" max="16129" width="3.81640625" style="168" customWidth="1"/>
    <col min="16130" max="16130" width="5.6328125" style="168" customWidth="1"/>
    <col min="16131" max="16131" width="9.08984375" style="168" customWidth="1"/>
    <col min="16132" max="16132" width="8.90625" style="168" customWidth="1"/>
    <col min="16133" max="16133" width="10.08984375" style="168" customWidth="1"/>
    <col min="16134" max="16134" width="6.08984375" style="168" customWidth="1"/>
    <col min="16135" max="16135" width="9.453125" style="168" customWidth="1"/>
    <col min="16136" max="16136" width="6.90625" style="168" customWidth="1"/>
    <col min="16137" max="16137" width="10.08984375" style="168" customWidth="1"/>
    <col min="16138" max="16138" width="10.54296875" style="168" customWidth="1"/>
    <col min="16139" max="16139" width="10.6328125" style="168" customWidth="1"/>
    <col min="16140" max="16384" width="7.81640625" style="168"/>
  </cols>
  <sheetData>
    <row r="1" spans="2:15" ht="36.6" customHeight="1" thickBot="1">
      <c r="B1" s="453" t="s">
        <v>627</v>
      </c>
      <c r="C1" s="453"/>
      <c r="D1" s="453"/>
      <c r="E1" s="453" t="s">
        <v>628</v>
      </c>
      <c r="F1" s="453"/>
      <c r="G1" s="454" t="s">
        <v>629</v>
      </c>
      <c r="H1" s="454"/>
      <c r="I1" s="454"/>
      <c r="J1" s="455" t="s">
        <v>565</v>
      </c>
      <c r="K1" s="455"/>
    </row>
    <row r="2" spans="2:15" s="86" customFormat="1" ht="23.4" customHeight="1">
      <c r="B2" s="443"/>
      <c r="C2" s="443"/>
      <c r="D2" s="456" t="s">
        <v>566</v>
      </c>
      <c r="E2" s="456"/>
      <c r="F2" s="456"/>
      <c r="G2" s="456"/>
      <c r="H2" s="456"/>
      <c r="I2" s="456"/>
      <c r="J2" s="296" t="s">
        <v>567</v>
      </c>
      <c r="K2" s="296"/>
    </row>
    <row r="3" spans="2:15" s="86" customFormat="1" ht="23.4" customHeight="1">
      <c r="B3" s="444"/>
      <c r="C3" s="444"/>
      <c r="D3" s="457"/>
      <c r="E3" s="457"/>
      <c r="F3" s="457"/>
      <c r="G3" s="457"/>
      <c r="H3" s="457"/>
      <c r="I3" s="457"/>
      <c r="J3" s="297" t="s">
        <v>568</v>
      </c>
      <c r="K3" s="297"/>
    </row>
    <row r="4" spans="2:15" s="86" customFormat="1" ht="23.4" customHeight="1" thickBot="1">
      <c r="B4" s="445"/>
      <c r="C4" s="445"/>
      <c r="D4" s="458"/>
      <c r="E4" s="458"/>
      <c r="F4" s="458"/>
      <c r="G4" s="458"/>
      <c r="H4" s="458"/>
      <c r="I4" s="458"/>
      <c r="J4" s="298" t="s">
        <v>82</v>
      </c>
      <c r="K4" s="298"/>
    </row>
    <row r="5" spans="2:15" s="169" customFormat="1" ht="9.9" customHeight="1"/>
    <row r="6" spans="2:15" ht="22.5" customHeight="1">
      <c r="B6" s="170" t="s">
        <v>569</v>
      </c>
      <c r="K6" s="171"/>
      <c r="O6" s="172"/>
    </row>
    <row r="7" spans="2:15" s="172" customFormat="1" ht="30.6" customHeight="1">
      <c r="B7" s="463" t="s">
        <v>570</v>
      </c>
      <c r="C7" s="463" t="s">
        <v>571</v>
      </c>
      <c r="D7" s="463" t="s">
        <v>572</v>
      </c>
      <c r="E7" s="466" t="s">
        <v>573</v>
      </c>
      <c r="F7" s="467"/>
      <c r="G7" s="463" t="s">
        <v>574</v>
      </c>
      <c r="H7" s="463" t="s">
        <v>575</v>
      </c>
      <c r="I7" s="459" t="s">
        <v>576</v>
      </c>
      <c r="J7" s="459"/>
      <c r="K7" s="460" t="s">
        <v>577</v>
      </c>
      <c r="M7" s="174"/>
    </row>
    <row r="8" spans="2:15" s="172" customFormat="1" ht="38.1" customHeight="1">
      <c r="B8" s="464"/>
      <c r="C8" s="464"/>
      <c r="D8" s="465"/>
      <c r="E8" s="173" t="s">
        <v>578</v>
      </c>
      <c r="F8" s="173" t="s">
        <v>579</v>
      </c>
      <c r="G8" s="465"/>
      <c r="H8" s="465"/>
      <c r="I8" s="173" t="s">
        <v>580</v>
      </c>
      <c r="J8" s="173" t="s">
        <v>581</v>
      </c>
      <c r="K8" s="461"/>
      <c r="M8" s="40"/>
    </row>
    <row r="9" spans="2:15" ht="36.9" customHeight="1">
      <c r="B9" s="175"/>
      <c r="C9" s="176"/>
      <c r="D9" s="176"/>
      <c r="E9" s="177"/>
      <c r="F9" s="177"/>
      <c r="G9" s="178"/>
      <c r="H9" s="176"/>
      <c r="I9" s="176"/>
      <c r="J9" s="176"/>
      <c r="K9" s="177"/>
    </row>
    <row r="10" spans="2:15" ht="36.9" customHeight="1">
      <c r="B10" s="175"/>
      <c r="C10" s="176"/>
      <c r="D10" s="176"/>
      <c r="E10" s="177"/>
      <c r="F10" s="177"/>
      <c r="G10" s="176"/>
      <c r="H10" s="176"/>
      <c r="I10" s="176"/>
      <c r="J10" s="176"/>
      <c r="K10" s="177"/>
    </row>
    <row r="11" spans="2:15" ht="36.9" customHeight="1">
      <c r="B11" s="175"/>
      <c r="C11" s="176"/>
      <c r="D11" s="176"/>
      <c r="E11" s="177"/>
      <c r="F11" s="177"/>
      <c r="G11" s="176"/>
      <c r="H11" s="176"/>
      <c r="I11" s="176"/>
      <c r="J11" s="176"/>
      <c r="K11" s="177"/>
    </row>
    <row r="12" spans="2:15" ht="36.9" customHeight="1">
      <c r="B12" s="175"/>
      <c r="C12" s="176"/>
      <c r="D12" s="176"/>
      <c r="E12" s="177"/>
      <c r="F12" s="177"/>
      <c r="G12" s="176"/>
      <c r="H12" s="176"/>
      <c r="I12" s="176"/>
      <c r="J12" s="176"/>
      <c r="K12" s="177"/>
    </row>
    <row r="13" spans="2:15" ht="36.9" customHeight="1">
      <c r="B13" s="175"/>
      <c r="C13" s="176"/>
      <c r="D13" s="176"/>
      <c r="E13" s="177"/>
      <c r="F13" s="177"/>
      <c r="G13" s="176"/>
      <c r="H13" s="176"/>
      <c r="I13" s="176"/>
      <c r="J13" s="176"/>
      <c r="K13" s="177"/>
    </row>
    <row r="14" spans="2:15" ht="36.9" customHeight="1">
      <c r="B14" s="175"/>
      <c r="C14" s="176"/>
      <c r="D14" s="176"/>
      <c r="E14" s="177"/>
      <c r="F14" s="177"/>
      <c r="G14" s="176"/>
      <c r="H14" s="176"/>
      <c r="I14" s="176"/>
      <c r="J14" s="176"/>
      <c r="K14" s="177"/>
    </row>
    <row r="15" spans="2:15" ht="36.9" customHeight="1">
      <c r="B15" s="175"/>
      <c r="C15" s="176"/>
      <c r="D15" s="176"/>
      <c r="E15" s="177"/>
      <c r="F15" s="177"/>
      <c r="G15" s="176"/>
      <c r="H15" s="176"/>
      <c r="I15" s="176"/>
      <c r="J15" s="176"/>
      <c r="K15" s="177"/>
    </row>
    <row r="16" spans="2:15" ht="36.9" customHeight="1">
      <c r="B16" s="175"/>
      <c r="C16" s="176"/>
      <c r="D16" s="176"/>
      <c r="E16" s="177"/>
      <c r="F16" s="177"/>
      <c r="G16" s="176"/>
      <c r="H16" s="176"/>
      <c r="I16" s="176"/>
      <c r="J16" s="176"/>
      <c r="K16" s="177"/>
    </row>
    <row r="17" spans="2:11" ht="36.9" customHeight="1">
      <c r="B17" s="175"/>
      <c r="C17" s="176"/>
      <c r="D17" s="176"/>
      <c r="E17" s="177"/>
      <c r="F17" s="177"/>
      <c r="G17" s="176"/>
      <c r="H17" s="176"/>
      <c r="I17" s="176"/>
      <c r="J17" s="176"/>
      <c r="K17" s="177"/>
    </row>
    <row r="18" spans="2:11" ht="27" customHeight="1">
      <c r="B18" s="170" t="s">
        <v>582</v>
      </c>
    </row>
    <row r="19" spans="2:11" ht="32.4" customHeight="1">
      <c r="B19" s="462" t="s">
        <v>583</v>
      </c>
      <c r="C19" s="462"/>
      <c r="D19" s="462"/>
      <c r="E19" s="462"/>
      <c r="F19" s="462"/>
      <c r="G19" s="462"/>
      <c r="H19" s="462"/>
      <c r="I19" s="462"/>
      <c r="J19" s="462"/>
      <c r="K19" s="462"/>
    </row>
    <row r="20" spans="2:11">
      <c r="C20" s="179" t="s">
        <v>584</v>
      </c>
      <c r="I20" s="179" t="s">
        <v>584</v>
      </c>
    </row>
    <row r="21" spans="2:11">
      <c r="C21" s="179" t="s">
        <v>585</v>
      </c>
      <c r="I21" s="179" t="s">
        <v>586</v>
      </c>
    </row>
  </sheetData>
  <mergeCells count="18">
    <mergeCell ref="I7:J7"/>
    <mergeCell ref="K7:K8"/>
    <mergeCell ref="B19:K19"/>
    <mergeCell ref="B7:B8"/>
    <mergeCell ref="C7:C8"/>
    <mergeCell ref="D7:D8"/>
    <mergeCell ref="E7:F7"/>
    <mergeCell ref="G7:G8"/>
    <mergeCell ref="H7:H8"/>
    <mergeCell ref="B1:D1"/>
    <mergeCell ref="E1:F1"/>
    <mergeCell ref="G1:I1"/>
    <mergeCell ref="J1:K1"/>
    <mergeCell ref="B2:C4"/>
    <mergeCell ref="D2:I4"/>
    <mergeCell ref="J2:K2"/>
    <mergeCell ref="J3:K3"/>
    <mergeCell ref="J4:K4"/>
  </mergeCells>
  <pageMargins left="0.14000000000000001" right="0.23" top="0.63" bottom="0.68" header="0.52" footer="0.44"/>
  <pageSetup scale="96" fitToWidth="0" fitToHeight="0" orientation="portrait" r:id="rId1"/>
  <headerFooter>
    <oddHeader xml:space="preserve">&amp;C&amp;"Times New Roman,Regular"&amp;16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1BFD-9ECE-4C8B-A998-96572F4E992D}">
  <dimension ref="A1:H18"/>
  <sheetViews>
    <sheetView workbookViewId="0">
      <selection activeCell="A6" sqref="A6:C6"/>
    </sheetView>
  </sheetViews>
  <sheetFormatPr defaultColWidth="7.81640625" defaultRowHeight="15.6"/>
  <cols>
    <col min="1" max="1" width="7.36328125" style="156" customWidth="1"/>
    <col min="2" max="2" width="9.453125" style="156" customWidth="1"/>
    <col min="3" max="3" width="20.08984375" style="156" customWidth="1"/>
    <col min="4" max="4" width="15.453125" style="156" customWidth="1"/>
    <col min="5" max="5" width="17.90625" style="156" customWidth="1"/>
    <col min="6" max="6" width="15.90625" style="156" customWidth="1"/>
    <col min="7" max="7" width="24.08984375" style="156" customWidth="1"/>
    <col min="8" max="8" width="11.36328125" style="156" customWidth="1"/>
    <col min="9" max="256" width="7.81640625" style="156"/>
    <col min="257" max="257" width="7.36328125" style="156" customWidth="1"/>
    <col min="258" max="258" width="9.453125" style="156" customWidth="1"/>
    <col min="259" max="259" width="20.08984375" style="156" customWidth="1"/>
    <col min="260" max="260" width="15.453125" style="156" customWidth="1"/>
    <col min="261" max="261" width="17.90625" style="156" customWidth="1"/>
    <col min="262" max="262" width="15.90625" style="156" customWidth="1"/>
    <col min="263" max="263" width="24.08984375" style="156" customWidth="1"/>
    <col min="264" max="264" width="11.36328125" style="156" customWidth="1"/>
    <col min="265" max="512" width="7.81640625" style="156"/>
    <col min="513" max="513" width="7.36328125" style="156" customWidth="1"/>
    <col min="514" max="514" width="9.453125" style="156" customWidth="1"/>
    <col min="515" max="515" width="20.08984375" style="156" customWidth="1"/>
    <col min="516" max="516" width="15.453125" style="156" customWidth="1"/>
    <col min="517" max="517" width="17.90625" style="156" customWidth="1"/>
    <col min="518" max="518" width="15.90625" style="156" customWidth="1"/>
    <col min="519" max="519" width="24.08984375" style="156" customWidth="1"/>
    <col min="520" max="520" width="11.36328125" style="156" customWidth="1"/>
    <col min="521" max="768" width="7.81640625" style="156"/>
    <col min="769" max="769" width="7.36328125" style="156" customWidth="1"/>
    <col min="770" max="770" width="9.453125" style="156" customWidth="1"/>
    <col min="771" max="771" width="20.08984375" style="156" customWidth="1"/>
    <col min="772" max="772" width="15.453125" style="156" customWidth="1"/>
    <col min="773" max="773" width="17.90625" style="156" customWidth="1"/>
    <col min="774" max="774" width="15.90625" style="156" customWidth="1"/>
    <col min="775" max="775" width="24.08984375" style="156" customWidth="1"/>
    <col min="776" max="776" width="11.36328125" style="156" customWidth="1"/>
    <col min="777" max="1024" width="7.81640625" style="156"/>
    <col min="1025" max="1025" width="7.36328125" style="156" customWidth="1"/>
    <col min="1026" max="1026" width="9.453125" style="156" customWidth="1"/>
    <col min="1027" max="1027" width="20.08984375" style="156" customWidth="1"/>
    <col min="1028" max="1028" width="15.453125" style="156" customWidth="1"/>
    <col min="1029" max="1029" width="17.90625" style="156" customWidth="1"/>
    <col min="1030" max="1030" width="15.90625" style="156" customWidth="1"/>
    <col min="1031" max="1031" width="24.08984375" style="156" customWidth="1"/>
    <col min="1032" max="1032" width="11.36328125" style="156" customWidth="1"/>
    <col min="1033" max="1280" width="7.81640625" style="156"/>
    <col min="1281" max="1281" width="7.36328125" style="156" customWidth="1"/>
    <col min="1282" max="1282" width="9.453125" style="156" customWidth="1"/>
    <col min="1283" max="1283" width="20.08984375" style="156" customWidth="1"/>
    <col min="1284" max="1284" width="15.453125" style="156" customWidth="1"/>
    <col min="1285" max="1285" width="17.90625" style="156" customWidth="1"/>
    <col min="1286" max="1286" width="15.90625" style="156" customWidth="1"/>
    <col min="1287" max="1287" width="24.08984375" style="156" customWidth="1"/>
    <col min="1288" max="1288" width="11.36328125" style="156" customWidth="1"/>
    <col min="1289" max="1536" width="7.81640625" style="156"/>
    <col min="1537" max="1537" width="7.36328125" style="156" customWidth="1"/>
    <col min="1538" max="1538" width="9.453125" style="156" customWidth="1"/>
    <col min="1539" max="1539" width="20.08984375" style="156" customWidth="1"/>
    <col min="1540" max="1540" width="15.453125" style="156" customWidth="1"/>
    <col min="1541" max="1541" width="17.90625" style="156" customWidth="1"/>
    <col min="1542" max="1542" width="15.90625" style="156" customWidth="1"/>
    <col min="1543" max="1543" width="24.08984375" style="156" customWidth="1"/>
    <col min="1544" max="1544" width="11.36328125" style="156" customWidth="1"/>
    <col min="1545" max="1792" width="7.81640625" style="156"/>
    <col min="1793" max="1793" width="7.36328125" style="156" customWidth="1"/>
    <col min="1794" max="1794" width="9.453125" style="156" customWidth="1"/>
    <col min="1795" max="1795" width="20.08984375" style="156" customWidth="1"/>
    <col min="1796" max="1796" width="15.453125" style="156" customWidth="1"/>
    <col min="1797" max="1797" width="17.90625" style="156" customWidth="1"/>
    <col min="1798" max="1798" width="15.90625" style="156" customWidth="1"/>
    <col min="1799" max="1799" width="24.08984375" style="156" customWidth="1"/>
    <col min="1800" max="1800" width="11.36328125" style="156" customWidth="1"/>
    <col min="1801" max="2048" width="7.81640625" style="156"/>
    <col min="2049" max="2049" width="7.36328125" style="156" customWidth="1"/>
    <col min="2050" max="2050" width="9.453125" style="156" customWidth="1"/>
    <col min="2051" max="2051" width="20.08984375" style="156" customWidth="1"/>
    <col min="2052" max="2052" width="15.453125" style="156" customWidth="1"/>
    <col min="2053" max="2053" width="17.90625" style="156" customWidth="1"/>
    <col min="2054" max="2054" width="15.90625" style="156" customWidth="1"/>
    <col min="2055" max="2055" width="24.08984375" style="156" customWidth="1"/>
    <col min="2056" max="2056" width="11.36328125" style="156" customWidth="1"/>
    <col min="2057" max="2304" width="7.81640625" style="156"/>
    <col min="2305" max="2305" width="7.36328125" style="156" customWidth="1"/>
    <col min="2306" max="2306" width="9.453125" style="156" customWidth="1"/>
    <col min="2307" max="2307" width="20.08984375" style="156" customWidth="1"/>
    <col min="2308" max="2308" width="15.453125" style="156" customWidth="1"/>
    <col min="2309" max="2309" width="17.90625" style="156" customWidth="1"/>
    <col min="2310" max="2310" width="15.90625" style="156" customWidth="1"/>
    <col min="2311" max="2311" width="24.08984375" style="156" customWidth="1"/>
    <col min="2312" max="2312" width="11.36328125" style="156" customWidth="1"/>
    <col min="2313" max="2560" width="7.81640625" style="156"/>
    <col min="2561" max="2561" width="7.36328125" style="156" customWidth="1"/>
    <col min="2562" max="2562" width="9.453125" style="156" customWidth="1"/>
    <col min="2563" max="2563" width="20.08984375" style="156" customWidth="1"/>
    <col min="2564" max="2564" width="15.453125" style="156" customWidth="1"/>
    <col min="2565" max="2565" width="17.90625" style="156" customWidth="1"/>
    <col min="2566" max="2566" width="15.90625" style="156" customWidth="1"/>
    <col min="2567" max="2567" width="24.08984375" style="156" customWidth="1"/>
    <col min="2568" max="2568" width="11.36328125" style="156" customWidth="1"/>
    <col min="2569" max="2816" width="7.81640625" style="156"/>
    <col min="2817" max="2817" width="7.36328125" style="156" customWidth="1"/>
    <col min="2818" max="2818" width="9.453125" style="156" customWidth="1"/>
    <col min="2819" max="2819" width="20.08984375" style="156" customWidth="1"/>
    <col min="2820" max="2820" width="15.453125" style="156" customWidth="1"/>
    <col min="2821" max="2821" width="17.90625" style="156" customWidth="1"/>
    <col min="2822" max="2822" width="15.90625" style="156" customWidth="1"/>
    <col min="2823" max="2823" width="24.08984375" style="156" customWidth="1"/>
    <col min="2824" max="2824" width="11.36328125" style="156" customWidth="1"/>
    <col min="2825" max="3072" width="7.81640625" style="156"/>
    <col min="3073" max="3073" width="7.36328125" style="156" customWidth="1"/>
    <col min="3074" max="3074" width="9.453125" style="156" customWidth="1"/>
    <col min="3075" max="3075" width="20.08984375" style="156" customWidth="1"/>
    <col min="3076" max="3076" width="15.453125" style="156" customWidth="1"/>
    <col min="3077" max="3077" width="17.90625" style="156" customWidth="1"/>
    <col min="3078" max="3078" width="15.90625" style="156" customWidth="1"/>
    <col min="3079" max="3079" width="24.08984375" style="156" customWidth="1"/>
    <col min="3080" max="3080" width="11.36328125" style="156" customWidth="1"/>
    <col min="3081" max="3328" width="7.81640625" style="156"/>
    <col min="3329" max="3329" width="7.36328125" style="156" customWidth="1"/>
    <col min="3330" max="3330" width="9.453125" style="156" customWidth="1"/>
    <col min="3331" max="3331" width="20.08984375" style="156" customWidth="1"/>
    <col min="3332" max="3332" width="15.453125" style="156" customWidth="1"/>
    <col min="3333" max="3333" width="17.90625" style="156" customWidth="1"/>
    <col min="3334" max="3334" width="15.90625" style="156" customWidth="1"/>
    <col min="3335" max="3335" width="24.08984375" style="156" customWidth="1"/>
    <col min="3336" max="3336" width="11.36328125" style="156" customWidth="1"/>
    <col min="3337" max="3584" width="7.81640625" style="156"/>
    <col min="3585" max="3585" width="7.36328125" style="156" customWidth="1"/>
    <col min="3586" max="3586" width="9.453125" style="156" customWidth="1"/>
    <col min="3587" max="3587" width="20.08984375" style="156" customWidth="1"/>
    <col min="3588" max="3588" width="15.453125" style="156" customWidth="1"/>
    <col min="3589" max="3589" width="17.90625" style="156" customWidth="1"/>
    <col min="3590" max="3590" width="15.90625" style="156" customWidth="1"/>
    <col min="3591" max="3591" width="24.08984375" style="156" customWidth="1"/>
    <col min="3592" max="3592" width="11.36328125" style="156" customWidth="1"/>
    <col min="3593" max="3840" width="7.81640625" style="156"/>
    <col min="3841" max="3841" width="7.36328125" style="156" customWidth="1"/>
    <col min="3842" max="3842" width="9.453125" style="156" customWidth="1"/>
    <col min="3843" max="3843" width="20.08984375" style="156" customWidth="1"/>
    <col min="3844" max="3844" width="15.453125" style="156" customWidth="1"/>
    <col min="3845" max="3845" width="17.90625" style="156" customWidth="1"/>
    <col min="3846" max="3846" width="15.90625" style="156" customWidth="1"/>
    <col min="3847" max="3847" width="24.08984375" style="156" customWidth="1"/>
    <col min="3848" max="3848" width="11.36328125" style="156" customWidth="1"/>
    <col min="3849" max="4096" width="7.81640625" style="156"/>
    <col min="4097" max="4097" width="7.36328125" style="156" customWidth="1"/>
    <col min="4098" max="4098" width="9.453125" style="156" customWidth="1"/>
    <col min="4099" max="4099" width="20.08984375" style="156" customWidth="1"/>
    <col min="4100" max="4100" width="15.453125" style="156" customWidth="1"/>
    <col min="4101" max="4101" width="17.90625" style="156" customWidth="1"/>
    <col min="4102" max="4102" width="15.90625" style="156" customWidth="1"/>
    <col min="4103" max="4103" width="24.08984375" style="156" customWidth="1"/>
    <col min="4104" max="4104" width="11.36328125" style="156" customWidth="1"/>
    <col min="4105" max="4352" width="7.81640625" style="156"/>
    <col min="4353" max="4353" width="7.36328125" style="156" customWidth="1"/>
    <col min="4354" max="4354" width="9.453125" style="156" customWidth="1"/>
    <col min="4355" max="4355" width="20.08984375" style="156" customWidth="1"/>
    <col min="4356" max="4356" width="15.453125" style="156" customWidth="1"/>
    <col min="4357" max="4357" width="17.90625" style="156" customWidth="1"/>
    <col min="4358" max="4358" width="15.90625" style="156" customWidth="1"/>
    <col min="4359" max="4359" width="24.08984375" style="156" customWidth="1"/>
    <col min="4360" max="4360" width="11.36328125" style="156" customWidth="1"/>
    <col min="4361" max="4608" width="7.81640625" style="156"/>
    <col min="4609" max="4609" width="7.36328125" style="156" customWidth="1"/>
    <col min="4610" max="4610" width="9.453125" style="156" customWidth="1"/>
    <col min="4611" max="4611" width="20.08984375" style="156" customWidth="1"/>
    <col min="4612" max="4612" width="15.453125" style="156" customWidth="1"/>
    <col min="4613" max="4613" width="17.90625" style="156" customWidth="1"/>
    <col min="4614" max="4614" width="15.90625" style="156" customWidth="1"/>
    <col min="4615" max="4615" width="24.08984375" style="156" customWidth="1"/>
    <col min="4616" max="4616" width="11.36328125" style="156" customWidth="1"/>
    <col min="4617" max="4864" width="7.81640625" style="156"/>
    <col min="4865" max="4865" width="7.36328125" style="156" customWidth="1"/>
    <col min="4866" max="4866" width="9.453125" style="156" customWidth="1"/>
    <col min="4867" max="4867" width="20.08984375" style="156" customWidth="1"/>
    <col min="4868" max="4868" width="15.453125" style="156" customWidth="1"/>
    <col min="4869" max="4869" width="17.90625" style="156" customWidth="1"/>
    <col min="4870" max="4870" width="15.90625" style="156" customWidth="1"/>
    <col min="4871" max="4871" width="24.08984375" style="156" customWidth="1"/>
    <col min="4872" max="4872" width="11.36328125" style="156" customWidth="1"/>
    <col min="4873" max="5120" width="7.81640625" style="156"/>
    <col min="5121" max="5121" width="7.36328125" style="156" customWidth="1"/>
    <col min="5122" max="5122" width="9.453125" style="156" customWidth="1"/>
    <col min="5123" max="5123" width="20.08984375" style="156" customWidth="1"/>
    <col min="5124" max="5124" width="15.453125" style="156" customWidth="1"/>
    <col min="5125" max="5125" width="17.90625" style="156" customWidth="1"/>
    <col min="5126" max="5126" width="15.90625" style="156" customWidth="1"/>
    <col min="5127" max="5127" width="24.08984375" style="156" customWidth="1"/>
    <col min="5128" max="5128" width="11.36328125" style="156" customWidth="1"/>
    <col min="5129" max="5376" width="7.81640625" style="156"/>
    <col min="5377" max="5377" width="7.36328125" style="156" customWidth="1"/>
    <col min="5378" max="5378" width="9.453125" style="156" customWidth="1"/>
    <col min="5379" max="5379" width="20.08984375" style="156" customWidth="1"/>
    <col min="5380" max="5380" width="15.453125" style="156" customWidth="1"/>
    <col min="5381" max="5381" width="17.90625" style="156" customWidth="1"/>
    <col min="5382" max="5382" width="15.90625" style="156" customWidth="1"/>
    <col min="5383" max="5383" width="24.08984375" style="156" customWidth="1"/>
    <col min="5384" max="5384" width="11.36328125" style="156" customWidth="1"/>
    <col min="5385" max="5632" width="7.81640625" style="156"/>
    <col min="5633" max="5633" width="7.36328125" style="156" customWidth="1"/>
    <col min="5634" max="5634" width="9.453125" style="156" customWidth="1"/>
    <col min="5635" max="5635" width="20.08984375" style="156" customWidth="1"/>
    <col min="5636" max="5636" width="15.453125" style="156" customWidth="1"/>
    <col min="5637" max="5637" width="17.90625" style="156" customWidth="1"/>
    <col min="5638" max="5638" width="15.90625" style="156" customWidth="1"/>
    <col min="5639" max="5639" width="24.08984375" style="156" customWidth="1"/>
    <col min="5640" max="5640" width="11.36328125" style="156" customWidth="1"/>
    <col min="5641" max="5888" width="7.81640625" style="156"/>
    <col min="5889" max="5889" width="7.36328125" style="156" customWidth="1"/>
    <col min="5890" max="5890" width="9.453125" style="156" customWidth="1"/>
    <col min="5891" max="5891" width="20.08984375" style="156" customWidth="1"/>
    <col min="5892" max="5892" width="15.453125" style="156" customWidth="1"/>
    <col min="5893" max="5893" width="17.90625" style="156" customWidth="1"/>
    <col min="5894" max="5894" width="15.90625" style="156" customWidth="1"/>
    <col min="5895" max="5895" width="24.08984375" style="156" customWidth="1"/>
    <col min="5896" max="5896" width="11.36328125" style="156" customWidth="1"/>
    <col min="5897" max="6144" width="7.81640625" style="156"/>
    <col min="6145" max="6145" width="7.36328125" style="156" customWidth="1"/>
    <col min="6146" max="6146" width="9.453125" style="156" customWidth="1"/>
    <col min="6147" max="6147" width="20.08984375" style="156" customWidth="1"/>
    <col min="6148" max="6148" width="15.453125" style="156" customWidth="1"/>
    <col min="6149" max="6149" width="17.90625" style="156" customWidth="1"/>
    <col min="6150" max="6150" width="15.90625" style="156" customWidth="1"/>
    <col min="6151" max="6151" width="24.08984375" style="156" customWidth="1"/>
    <col min="6152" max="6152" width="11.36328125" style="156" customWidth="1"/>
    <col min="6153" max="6400" width="7.81640625" style="156"/>
    <col min="6401" max="6401" width="7.36328125" style="156" customWidth="1"/>
    <col min="6402" max="6402" width="9.453125" style="156" customWidth="1"/>
    <col min="6403" max="6403" width="20.08984375" style="156" customWidth="1"/>
    <col min="6404" max="6404" width="15.453125" style="156" customWidth="1"/>
    <col min="6405" max="6405" width="17.90625" style="156" customWidth="1"/>
    <col min="6406" max="6406" width="15.90625" style="156" customWidth="1"/>
    <col min="6407" max="6407" width="24.08984375" style="156" customWidth="1"/>
    <col min="6408" max="6408" width="11.36328125" style="156" customWidth="1"/>
    <col min="6409" max="6656" width="7.81640625" style="156"/>
    <col min="6657" max="6657" width="7.36328125" style="156" customWidth="1"/>
    <col min="6658" max="6658" width="9.453125" style="156" customWidth="1"/>
    <col min="6659" max="6659" width="20.08984375" style="156" customWidth="1"/>
    <col min="6660" max="6660" width="15.453125" style="156" customWidth="1"/>
    <col min="6661" max="6661" width="17.90625" style="156" customWidth="1"/>
    <col min="6662" max="6662" width="15.90625" style="156" customWidth="1"/>
    <col min="6663" max="6663" width="24.08984375" style="156" customWidth="1"/>
    <col min="6664" max="6664" width="11.36328125" style="156" customWidth="1"/>
    <col min="6665" max="6912" width="7.81640625" style="156"/>
    <col min="6913" max="6913" width="7.36328125" style="156" customWidth="1"/>
    <col min="6914" max="6914" width="9.453125" style="156" customWidth="1"/>
    <col min="6915" max="6915" width="20.08984375" style="156" customWidth="1"/>
    <col min="6916" max="6916" width="15.453125" style="156" customWidth="1"/>
    <col min="6917" max="6917" width="17.90625" style="156" customWidth="1"/>
    <col min="6918" max="6918" width="15.90625" style="156" customWidth="1"/>
    <col min="6919" max="6919" width="24.08984375" style="156" customWidth="1"/>
    <col min="6920" max="6920" width="11.36328125" style="156" customWidth="1"/>
    <col min="6921" max="7168" width="7.81640625" style="156"/>
    <col min="7169" max="7169" width="7.36328125" style="156" customWidth="1"/>
    <col min="7170" max="7170" width="9.453125" style="156" customWidth="1"/>
    <col min="7171" max="7171" width="20.08984375" style="156" customWidth="1"/>
    <col min="7172" max="7172" width="15.453125" style="156" customWidth="1"/>
    <col min="7173" max="7173" width="17.90625" style="156" customWidth="1"/>
    <col min="7174" max="7174" width="15.90625" style="156" customWidth="1"/>
    <col min="7175" max="7175" width="24.08984375" style="156" customWidth="1"/>
    <col min="7176" max="7176" width="11.36328125" style="156" customWidth="1"/>
    <col min="7177" max="7424" width="7.81640625" style="156"/>
    <col min="7425" max="7425" width="7.36328125" style="156" customWidth="1"/>
    <col min="7426" max="7426" width="9.453125" style="156" customWidth="1"/>
    <col min="7427" max="7427" width="20.08984375" style="156" customWidth="1"/>
    <col min="7428" max="7428" width="15.453125" style="156" customWidth="1"/>
    <col min="7429" max="7429" width="17.90625" style="156" customWidth="1"/>
    <col min="7430" max="7430" width="15.90625" style="156" customWidth="1"/>
    <col min="7431" max="7431" width="24.08984375" style="156" customWidth="1"/>
    <col min="7432" max="7432" width="11.36328125" style="156" customWidth="1"/>
    <col min="7433" max="7680" width="7.81640625" style="156"/>
    <col min="7681" max="7681" width="7.36328125" style="156" customWidth="1"/>
    <col min="7682" max="7682" width="9.453125" style="156" customWidth="1"/>
    <col min="7683" max="7683" width="20.08984375" style="156" customWidth="1"/>
    <col min="7684" max="7684" width="15.453125" style="156" customWidth="1"/>
    <col min="7685" max="7685" width="17.90625" style="156" customWidth="1"/>
    <col min="7686" max="7686" width="15.90625" style="156" customWidth="1"/>
    <col min="7687" max="7687" width="24.08984375" style="156" customWidth="1"/>
    <col min="7688" max="7688" width="11.36328125" style="156" customWidth="1"/>
    <col min="7689" max="7936" width="7.81640625" style="156"/>
    <col min="7937" max="7937" width="7.36328125" style="156" customWidth="1"/>
    <col min="7938" max="7938" width="9.453125" style="156" customWidth="1"/>
    <col min="7939" max="7939" width="20.08984375" style="156" customWidth="1"/>
    <col min="7940" max="7940" width="15.453125" style="156" customWidth="1"/>
    <col min="7941" max="7941" width="17.90625" style="156" customWidth="1"/>
    <col min="7942" max="7942" width="15.90625" style="156" customWidth="1"/>
    <col min="7943" max="7943" width="24.08984375" style="156" customWidth="1"/>
    <col min="7944" max="7944" width="11.36328125" style="156" customWidth="1"/>
    <col min="7945" max="8192" width="7.81640625" style="156"/>
    <col min="8193" max="8193" width="7.36328125" style="156" customWidth="1"/>
    <col min="8194" max="8194" width="9.453125" style="156" customWidth="1"/>
    <col min="8195" max="8195" width="20.08984375" style="156" customWidth="1"/>
    <col min="8196" max="8196" width="15.453125" style="156" customWidth="1"/>
    <col min="8197" max="8197" width="17.90625" style="156" customWidth="1"/>
    <col min="8198" max="8198" width="15.90625" style="156" customWidth="1"/>
    <col min="8199" max="8199" width="24.08984375" style="156" customWidth="1"/>
    <col min="8200" max="8200" width="11.36328125" style="156" customWidth="1"/>
    <col min="8201" max="8448" width="7.81640625" style="156"/>
    <col min="8449" max="8449" width="7.36328125" style="156" customWidth="1"/>
    <col min="8450" max="8450" width="9.453125" style="156" customWidth="1"/>
    <col min="8451" max="8451" width="20.08984375" style="156" customWidth="1"/>
    <col min="8452" max="8452" width="15.453125" style="156" customWidth="1"/>
    <col min="8453" max="8453" width="17.90625" style="156" customWidth="1"/>
    <col min="8454" max="8454" width="15.90625" style="156" customWidth="1"/>
    <col min="8455" max="8455" width="24.08984375" style="156" customWidth="1"/>
    <col min="8456" max="8456" width="11.36328125" style="156" customWidth="1"/>
    <col min="8457" max="8704" width="7.81640625" style="156"/>
    <col min="8705" max="8705" width="7.36328125" style="156" customWidth="1"/>
    <col min="8706" max="8706" width="9.453125" style="156" customWidth="1"/>
    <col min="8707" max="8707" width="20.08984375" style="156" customWidth="1"/>
    <col min="8708" max="8708" width="15.453125" style="156" customWidth="1"/>
    <col min="8709" max="8709" width="17.90625" style="156" customWidth="1"/>
    <col min="8710" max="8710" width="15.90625" style="156" customWidth="1"/>
    <col min="8711" max="8711" width="24.08984375" style="156" customWidth="1"/>
    <col min="8712" max="8712" width="11.36328125" style="156" customWidth="1"/>
    <col min="8713" max="8960" width="7.81640625" style="156"/>
    <col min="8961" max="8961" width="7.36328125" style="156" customWidth="1"/>
    <col min="8962" max="8962" width="9.453125" style="156" customWidth="1"/>
    <col min="8963" max="8963" width="20.08984375" style="156" customWidth="1"/>
    <col min="8964" max="8964" width="15.453125" style="156" customWidth="1"/>
    <col min="8965" max="8965" width="17.90625" style="156" customWidth="1"/>
    <col min="8966" max="8966" width="15.90625" style="156" customWidth="1"/>
    <col min="8967" max="8967" width="24.08984375" style="156" customWidth="1"/>
    <col min="8968" max="8968" width="11.36328125" style="156" customWidth="1"/>
    <col min="8969" max="9216" width="7.81640625" style="156"/>
    <col min="9217" max="9217" width="7.36328125" style="156" customWidth="1"/>
    <col min="9218" max="9218" width="9.453125" style="156" customWidth="1"/>
    <col min="9219" max="9219" width="20.08984375" style="156" customWidth="1"/>
    <col min="9220" max="9220" width="15.453125" style="156" customWidth="1"/>
    <col min="9221" max="9221" width="17.90625" style="156" customWidth="1"/>
    <col min="9222" max="9222" width="15.90625" style="156" customWidth="1"/>
    <col min="9223" max="9223" width="24.08984375" style="156" customWidth="1"/>
    <col min="9224" max="9224" width="11.36328125" style="156" customWidth="1"/>
    <col min="9225" max="9472" width="7.81640625" style="156"/>
    <col min="9473" max="9473" width="7.36328125" style="156" customWidth="1"/>
    <col min="9474" max="9474" width="9.453125" style="156" customWidth="1"/>
    <col min="9475" max="9475" width="20.08984375" style="156" customWidth="1"/>
    <col min="9476" max="9476" width="15.453125" style="156" customWidth="1"/>
    <col min="9477" max="9477" width="17.90625" style="156" customWidth="1"/>
    <col min="9478" max="9478" width="15.90625" style="156" customWidth="1"/>
    <col min="9479" max="9479" width="24.08984375" style="156" customWidth="1"/>
    <col min="9480" max="9480" width="11.36328125" style="156" customWidth="1"/>
    <col min="9481" max="9728" width="7.81640625" style="156"/>
    <col min="9729" max="9729" width="7.36328125" style="156" customWidth="1"/>
    <col min="9730" max="9730" width="9.453125" style="156" customWidth="1"/>
    <col min="9731" max="9731" width="20.08984375" style="156" customWidth="1"/>
    <col min="9732" max="9732" width="15.453125" style="156" customWidth="1"/>
    <col min="9733" max="9733" width="17.90625" style="156" customWidth="1"/>
    <col min="9734" max="9734" width="15.90625" style="156" customWidth="1"/>
    <col min="9735" max="9735" width="24.08984375" style="156" customWidth="1"/>
    <col min="9736" max="9736" width="11.36328125" style="156" customWidth="1"/>
    <col min="9737" max="9984" width="7.81640625" style="156"/>
    <col min="9985" max="9985" width="7.36328125" style="156" customWidth="1"/>
    <col min="9986" max="9986" width="9.453125" style="156" customWidth="1"/>
    <col min="9987" max="9987" width="20.08984375" style="156" customWidth="1"/>
    <col min="9988" max="9988" width="15.453125" style="156" customWidth="1"/>
    <col min="9989" max="9989" width="17.90625" style="156" customWidth="1"/>
    <col min="9990" max="9990" width="15.90625" style="156" customWidth="1"/>
    <col min="9991" max="9991" width="24.08984375" style="156" customWidth="1"/>
    <col min="9992" max="9992" width="11.36328125" style="156" customWidth="1"/>
    <col min="9993" max="10240" width="7.81640625" style="156"/>
    <col min="10241" max="10241" width="7.36328125" style="156" customWidth="1"/>
    <col min="10242" max="10242" width="9.453125" style="156" customWidth="1"/>
    <col min="10243" max="10243" width="20.08984375" style="156" customWidth="1"/>
    <col min="10244" max="10244" width="15.453125" style="156" customWidth="1"/>
    <col min="10245" max="10245" width="17.90625" style="156" customWidth="1"/>
    <col min="10246" max="10246" width="15.90625" style="156" customWidth="1"/>
    <col min="10247" max="10247" width="24.08984375" style="156" customWidth="1"/>
    <col min="10248" max="10248" width="11.36328125" style="156" customWidth="1"/>
    <col min="10249" max="10496" width="7.81640625" style="156"/>
    <col min="10497" max="10497" width="7.36328125" style="156" customWidth="1"/>
    <col min="10498" max="10498" width="9.453125" style="156" customWidth="1"/>
    <col min="10499" max="10499" width="20.08984375" style="156" customWidth="1"/>
    <col min="10500" max="10500" width="15.453125" style="156" customWidth="1"/>
    <col min="10501" max="10501" width="17.90625" style="156" customWidth="1"/>
    <col min="10502" max="10502" width="15.90625" style="156" customWidth="1"/>
    <col min="10503" max="10503" width="24.08984375" style="156" customWidth="1"/>
    <col min="10504" max="10504" width="11.36328125" style="156" customWidth="1"/>
    <col min="10505" max="10752" width="7.81640625" style="156"/>
    <col min="10753" max="10753" width="7.36328125" style="156" customWidth="1"/>
    <col min="10754" max="10754" width="9.453125" style="156" customWidth="1"/>
    <col min="10755" max="10755" width="20.08984375" style="156" customWidth="1"/>
    <col min="10756" max="10756" width="15.453125" style="156" customWidth="1"/>
    <col min="10757" max="10757" width="17.90625" style="156" customWidth="1"/>
    <col min="10758" max="10758" width="15.90625" style="156" customWidth="1"/>
    <col min="10759" max="10759" width="24.08984375" style="156" customWidth="1"/>
    <col min="10760" max="10760" width="11.36328125" style="156" customWidth="1"/>
    <col min="10761" max="11008" width="7.81640625" style="156"/>
    <col min="11009" max="11009" width="7.36328125" style="156" customWidth="1"/>
    <col min="11010" max="11010" width="9.453125" style="156" customWidth="1"/>
    <col min="11011" max="11011" width="20.08984375" style="156" customWidth="1"/>
    <col min="11012" max="11012" width="15.453125" style="156" customWidth="1"/>
    <col min="11013" max="11013" width="17.90625" style="156" customWidth="1"/>
    <col min="11014" max="11014" width="15.90625" style="156" customWidth="1"/>
    <col min="11015" max="11015" width="24.08984375" style="156" customWidth="1"/>
    <col min="11016" max="11016" width="11.36328125" style="156" customWidth="1"/>
    <col min="11017" max="11264" width="7.81640625" style="156"/>
    <col min="11265" max="11265" width="7.36328125" style="156" customWidth="1"/>
    <col min="11266" max="11266" width="9.453125" style="156" customWidth="1"/>
    <col min="11267" max="11267" width="20.08984375" style="156" customWidth="1"/>
    <col min="11268" max="11268" width="15.453125" style="156" customWidth="1"/>
    <col min="11269" max="11269" width="17.90625" style="156" customWidth="1"/>
    <col min="11270" max="11270" width="15.90625" style="156" customWidth="1"/>
    <col min="11271" max="11271" width="24.08984375" style="156" customWidth="1"/>
    <col min="11272" max="11272" width="11.36328125" style="156" customWidth="1"/>
    <col min="11273" max="11520" width="7.81640625" style="156"/>
    <col min="11521" max="11521" width="7.36328125" style="156" customWidth="1"/>
    <col min="11522" max="11522" width="9.453125" style="156" customWidth="1"/>
    <col min="11523" max="11523" width="20.08984375" style="156" customWidth="1"/>
    <col min="11524" max="11524" width="15.453125" style="156" customWidth="1"/>
    <col min="11525" max="11525" width="17.90625" style="156" customWidth="1"/>
    <col min="11526" max="11526" width="15.90625" style="156" customWidth="1"/>
    <col min="11527" max="11527" width="24.08984375" style="156" customWidth="1"/>
    <col min="11528" max="11528" width="11.36328125" style="156" customWidth="1"/>
    <col min="11529" max="11776" width="7.81640625" style="156"/>
    <col min="11777" max="11777" width="7.36328125" style="156" customWidth="1"/>
    <col min="11778" max="11778" width="9.453125" style="156" customWidth="1"/>
    <col min="11779" max="11779" width="20.08984375" style="156" customWidth="1"/>
    <col min="11780" max="11780" width="15.453125" style="156" customWidth="1"/>
    <col min="11781" max="11781" width="17.90625" style="156" customWidth="1"/>
    <col min="11782" max="11782" width="15.90625" style="156" customWidth="1"/>
    <col min="11783" max="11783" width="24.08984375" style="156" customWidth="1"/>
    <col min="11784" max="11784" width="11.36328125" style="156" customWidth="1"/>
    <col min="11785" max="12032" width="7.81640625" style="156"/>
    <col min="12033" max="12033" width="7.36328125" style="156" customWidth="1"/>
    <col min="12034" max="12034" width="9.453125" style="156" customWidth="1"/>
    <col min="12035" max="12035" width="20.08984375" style="156" customWidth="1"/>
    <col min="12036" max="12036" width="15.453125" style="156" customWidth="1"/>
    <col min="12037" max="12037" width="17.90625" style="156" customWidth="1"/>
    <col min="12038" max="12038" width="15.90625" style="156" customWidth="1"/>
    <col min="12039" max="12039" width="24.08984375" style="156" customWidth="1"/>
    <col min="12040" max="12040" width="11.36328125" style="156" customWidth="1"/>
    <col min="12041" max="12288" width="7.81640625" style="156"/>
    <col min="12289" max="12289" width="7.36328125" style="156" customWidth="1"/>
    <col min="12290" max="12290" width="9.453125" style="156" customWidth="1"/>
    <col min="12291" max="12291" width="20.08984375" style="156" customWidth="1"/>
    <col min="12292" max="12292" width="15.453125" style="156" customWidth="1"/>
    <col min="12293" max="12293" width="17.90625" style="156" customWidth="1"/>
    <col min="12294" max="12294" width="15.90625" style="156" customWidth="1"/>
    <col min="12295" max="12295" width="24.08984375" style="156" customWidth="1"/>
    <col min="12296" max="12296" width="11.36328125" style="156" customWidth="1"/>
    <col min="12297" max="12544" width="7.81640625" style="156"/>
    <col min="12545" max="12545" width="7.36328125" style="156" customWidth="1"/>
    <col min="12546" max="12546" width="9.453125" style="156" customWidth="1"/>
    <col min="12547" max="12547" width="20.08984375" style="156" customWidth="1"/>
    <col min="12548" max="12548" width="15.453125" style="156" customWidth="1"/>
    <col min="12549" max="12549" width="17.90625" style="156" customWidth="1"/>
    <col min="12550" max="12550" width="15.90625" style="156" customWidth="1"/>
    <col min="12551" max="12551" width="24.08984375" style="156" customWidth="1"/>
    <col min="12552" max="12552" width="11.36328125" style="156" customWidth="1"/>
    <col min="12553" max="12800" width="7.81640625" style="156"/>
    <col min="12801" max="12801" width="7.36328125" style="156" customWidth="1"/>
    <col min="12802" max="12802" width="9.453125" style="156" customWidth="1"/>
    <col min="12803" max="12803" width="20.08984375" style="156" customWidth="1"/>
    <col min="12804" max="12804" width="15.453125" style="156" customWidth="1"/>
    <col min="12805" max="12805" width="17.90625" style="156" customWidth="1"/>
    <col min="12806" max="12806" width="15.90625" style="156" customWidth="1"/>
    <col min="12807" max="12807" width="24.08984375" style="156" customWidth="1"/>
    <col min="12808" max="12808" width="11.36328125" style="156" customWidth="1"/>
    <col min="12809" max="13056" width="7.81640625" style="156"/>
    <col min="13057" max="13057" width="7.36328125" style="156" customWidth="1"/>
    <col min="13058" max="13058" width="9.453125" style="156" customWidth="1"/>
    <col min="13059" max="13059" width="20.08984375" style="156" customWidth="1"/>
    <col min="13060" max="13060" width="15.453125" style="156" customWidth="1"/>
    <col min="13061" max="13061" width="17.90625" style="156" customWidth="1"/>
    <col min="13062" max="13062" width="15.90625" style="156" customWidth="1"/>
    <col min="13063" max="13063" width="24.08984375" style="156" customWidth="1"/>
    <col min="13064" max="13064" width="11.36328125" style="156" customWidth="1"/>
    <col min="13065" max="13312" width="7.81640625" style="156"/>
    <col min="13313" max="13313" width="7.36328125" style="156" customWidth="1"/>
    <col min="13314" max="13314" width="9.453125" style="156" customWidth="1"/>
    <col min="13315" max="13315" width="20.08984375" style="156" customWidth="1"/>
    <col min="13316" max="13316" width="15.453125" style="156" customWidth="1"/>
    <col min="13317" max="13317" width="17.90625" style="156" customWidth="1"/>
    <col min="13318" max="13318" width="15.90625" style="156" customWidth="1"/>
    <col min="13319" max="13319" width="24.08984375" style="156" customWidth="1"/>
    <col min="13320" max="13320" width="11.36328125" style="156" customWidth="1"/>
    <col min="13321" max="13568" width="7.81640625" style="156"/>
    <col min="13569" max="13569" width="7.36328125" style="156" customWidth="1"/>
    <col min="13570" max="13570" width="9.453125" style="156" customWidth="1"/>
    <col min="13571" max="13571" width="20.08984375" style="156" customWidth="1"/>
    <col min="13572" max="13572" width="15.453125" style="156" customWidth="1"/>
    <col min="13573" max="13573" width="17.90625" style="156" customWidth="1"/>
    <col min="13574" max="13574" width="15.90625" style="156" customWidth="1"/>
    <col min="13575" max="13575" width="24.08984375" style="156" customWidth="1"/>
    <col min="13576" max="13576" width="11.36328125" style="156" customWidth="1"/>
    <col min="13577" max="13824" width="7.81640625" style="156"/>
    <col min="13825" max="13825" width="7.36328125" style="156" customWidth="1"/>
    <col min="13826" max="13826" width="9.453125" style="156" customWidth="1"/>
    <col min="13827" max="13827" width="20.08984375" style="156" customWidth="1"/>
    <col min="13828" max="13828" width="15.453125" style="156" customWidth="1"/>
    <col min="13829" max="13829" width="17.90625" style="156" customWidth="1"/>
    <col min="13830" max="13830" width="15.90625" style="156" customWidth="1"/>
    <col min="13831" max="13831" width="24.08984375" style="156" customWidth="1"/>
    <col min="13832" max="13832" width="11.36328125" style="156" customWidth="1"/>
    <col min="13833" max="14080" width="7.81640625" style="156"/>
    <col min="14081" max="14081" width="7.36328125" style="156" customWidth="1"/>
    <col min="14082" max="14082" width="9.453125" style="156" customWidth="1"/>
    <col min="14083" max="14083" width="20.08984375" style="156" customWidth="1"/>
    <col min="14084" max="14084" width="15.453125" style="156" customWidth="1"/>
    <col min="14085" max="14085" width="17.90625" style="156" customWidth="1"/>
    <col min="14086" max="14086" width="15.90625" style="156" customWidth="1"/>
    <col min="14087" max="14087" width="24.08984375" style="156" customWidth="1"/>
    <col min="14088" max="14088" width="11.36328125" style="156" customWidth="1"/>
    <col min="14089" max="14336" width="7.81640625" style="156"/>
    <col min="14337" max="14337" width="7.36328125" style="156" customWidth="1"/>
    <col min="14338" max="14338" width="9.453125" style="156" customWidth="1"/>
    <col min="14339" max="14339" width="20.08984375" style="156" customWidth="1"/>
    <col min="14340" max="14340" width="15.453125" style="156" customWidth="1"/>
    <col min="14341" max="14341" width="17.90625" style="156" customWidth="1"/>
    <col min="14342" max="14342" width="15.90625" style="156" customWidth="1"/>
    <col min="14343" max="14343" width="24.08984375" style="156" customWidth="1"/>
    <col min="14344" max="14344" width="11.36328125" style="156" customWidth="1"/>
    <col min="14345" max="14592" width="7.81640625" style="156"/>
    <col min="14593" max="14593" width="7.36328125" style="156" customWidth="1"/>
    <col min="14594" max="14594" width="9.453125" style="156" customWidth="1"/>
    <col min="14595" max="14595" width="20.08984375" style="156" customWidth="1"/>
    <col min="14596" max="14596" width="15.453125" style="156" customWidth="1"/>
    <col min="14597" max="14597" width="17.90625" style="156" customWidth="1"/>
    <col min="14598" max="14598" width="15.90625" style="156" customWidth="1"/>
    <col min="14599" max="14599" width="24.08984375" style="156" customWidth="1"/>
    <col min="14600" max="14600" width="11.36328125" style="156" customWidth="1"/>
    <col min="14601" max="14848" width="7.81640625" style="156"/>
    <col min="14849" max="14849" width="7.36328125" style="156" customWidth="1"/>
    <col min="14850" max="14850" width="9.453125" style="156" customWidth="1"/>
    <col min="14851" max="14851" width="20.08984375" style="156" customWidth="1"/>
    <col min="14852" max="14852" width="15.453125" style="156" customWidth="1"/>
    <col min="14853" max="14853" width="17.90625" style="156" customWidth="1"/>
    <col min="14854" max="14854" width="15.90625" style="156" customWidth="1"/>
    <col min="14855" max="14855" width="24.08984375" style="156" customWidth="1"/>
    <col min="14856" max="14856" width="11.36328125" style="156" customWidth="1"/>
    <col min="14857" max="15104" width="7.81640625" style="156"/>
    <col min="15105" max="15105" width="7.36328125" style="156" customWidth="1"/>
    <col min="15106" max="15106" width="9.453125" style="156" customWidth="1"/>
    <col min="15107" max="15107" width="20.08984375" style="156" customWidth="1"/>
    <col min="15108" max="15108" width="15.453125" style="156" customWidth="1"/>
    <col min="15109" max="15109" width="17.90625" style="156" customWidth="1"/>
    <col min="15110" max="15110" width="15.90625" style="156" customWidth="1"/>
    <col min="15111" max="15111" width="24.08984375" style="156" customWidth="1"/>
    <col min="15112" max="15112" width="11.36328125" style="156" customWidth="1"/>
    <col min="15113" max="15360" width="7.81640625" style="156"/>
    <col min="15361" max="15361" width="7.36328125" style="156" customWidth="1"/>
    <col min="15362" max="15362" width="9.453125" style="156" customWidth="1"/>
    <col min="15363" max="15363" width="20.08984375" style="156" customWidth="1"/>
    <col min="15364" max="15364" width="15.453125" style="156" customWidth="1"/>
    <col min="15365" max="15365" width="17.90625" style="156" customWidth="1"/>
    <col min="15366" max="15366" width="15.90625" style="156" customWidth="1"/>
    <col min="15367" max="15367" width="24.08984375" style="156" customWidth="1"/>
    <col min="15368" max="15368" width="11.36328125" style="156" customWidth="1"/>
    <col min="15369" max="15616" width="7.81640625" style="156"/>
    <col min="15617" max="15617" width="7.36328125" style="156" customWidth="1"/>
    <col min="15618" max="15618" width="9.453125" style="156" customWidth="1"/>
    <col min="15619" max="15619" width="20.08984375" style="156" customWidth="1"/>
    <col min="15620" max="15620" width="15.453125" style="156" customWidth="1"/>
    <col min="15621" max="15621" width="17.90625" style="156" customWidth="1"/>
    <col min="15622" max="15622" width="15.90625" style="156" customWidth="1"/>
    <col min="15623" max="15623" width="24.08984375" style="156" customWidth="1"/>
    <col min="15624" max="15624" width="11.36328125" style="156" customWidth="1"/>
    <col min="15625" max="15872" width="7.81640625" style="156"/>
    <col min="15873" max="15873" width="7.36328125" style="156" customWidth="1"/>
    <col min="15874" max="15874" width="9.453125" style="156" customWidth="1"/>
    <col min="15875" max="15875" width="20.08984375" style="156" customWidth="1"/>
    <col min="15876" max="15876" width="15.453125" style="156" customWidth="1"/>
    <col min="15877" max="15877" width="17.90625" style="156" customWidth="1"/>
    <col min="15878" max="15878" width="15.90625" style="156" customWidth="1"/>
    <col min="15879" max="15879" width="24.08984375" style="156" customWidth="1"/>
    <col min="15880" max="15880" width="11.36328125" style="156" customWidth="1"/>
    <col min="15881" max="16128" width="7.81640625" style="156"/>
    <col min="16129" max="16129" width="7.36328125" style="156" customWidth="1"/>
    <col min="16130" max="16130" width="9.453125" style="156" customWidth="1"/>
    <col min="16131" max="16131" width="20.08984375" style="156" customWidth="1"/>
    <col min="16132" max="16132" width="15.453125" style="156" customWidth="1"/>
    <col min="16133" max="16133" width="17.90625" style="156" customWidth="1"/>
    <col min="16134" max="16134" width="15.90625" style="156" customWidth="1"/>
    <col min="16135" max="16135" width="24.08984375" style="156" customWidth="1"/>
    <col min="16136" max="16136" width="11.36328125" style="156" customWidth="1"/>
    <col min="16137" max="16384" width="7.81640625" style="156"/>
  </cols>
  <sheetData>
    <row r="1" spans="1:8" s="86" customFormat="1" ht="20.25" customHeight="1">
      <c r="A1" s="443"/>
      <c r="B1" s="443"/>
      <c r="C1" s="446" t="s">
        <v>547</v>
      </c>
      <c r="D1" s="446"/>
      <c r="E1" s="446"/>
      <c r="F1" s="446"/>
      <c r="G1" s="83" t="s">
        <v>548</v>
      </c>
    </row>
    <row r="2" spans="1:8" s="86" customFormat="1" ht="24.9" customHeight="1">
      <c r="A2" s="444"/>
      <c r="B2" s="444"/>
      <c r="C2" s="447"/>
      <c r="D2" s="447"/>
      <c r="E2" s="447"/>
      <c r="F2" s="447"/>
      <c r="G2" s="84" t="s">
        <v>549</v>
      </c>
    </row>
    <row r="3" spans="1:8" s="86" customFormat="1" ht="24.9" customHeight="1" thickBot="1">
      <c r="A3" s="445"/>
      <c r="B3" s="445"/>
      <c r="C3" s="448"/>
      <c r="D3" s="448"/>
      <c r="E3" s="448"/>
      <c r="F3" s="448"/>
      <c r="G3" s="85" t="s">
        <v>82</v>
      </c>
    </row>
    <row r="4" spans="1:8" ht="9.9" customHeight="1">
      <c r="A4" s="468"/>
      <c r="B4" s="468"/>
      <c r="C4" s="468"/>
      <c r="D4" s="468"/>
      <c r="E4" s="468"/>
      <c r="F4" s="468"/>
      <c r="G4" s="468"/>
    </row>
    <row r="5" spans="1:8" ht="17.25" customHeight="1">
      <c r="A5" s="157" t="s">
        <v>550</v>
      </c>
      <c r="B5" s="158"/>
      <c r="C5" s="158"/>
      <c r="D5" s="159"/>
      <c r="E5" s="159"/>
      <c r="F5" s="159"/>
      <c r="G5" s="159"/>
    </row>
    <row r="6" spans="1:8">
      <c r="A6" s="469" t="s">
        <v>551</v>
      </c>
      <c r="B6" s="469"/>
      <c r="C6" s="469"/>
      <c r="D6" s="156" t="s">
        <v>552</v>
      </c>
    </row>
    <row r="7" spans="1:8">
      <c r="A7" s="160" t="s">
        <v>553</v>
      </c>
    </row>
    <row r="8" spans="1:8">
      <c r="A8" s="156" t="s">
        <v>554</v>
      </c>
    </row>
    <row r="9" spans="1:8" ht="35.25" customHeight="1">
      <c r="A9" s="161" t="s">
        <v>555</v>
      </c>
      <c r="B9" s="161" t="s">
        <v>556</v>
      </c>
      <c r="C9" s="161" t="s">
        <v>557</v>
      </c>
      <c r="D9" s="161" t="s">
        <v>558</v>
      </c>
      <c r="E9" s="161" t="s">
        <v>559</v>
      </c>
      <c r="F9" s="161" t="s">
        <v>560</v>
      </c>
      <c r="G9" s="87" t="s">
        <v>561</v>
      </c>
      <c r="H9" s="162"/>
    </row>
    <row r="10" spans="1:8" ht="24.75" customHeight="1">
      <c r="A10" s="163"/>
      <c r="B10" s="163"/>
      <c r="C10" s="163"/>
      <c r="D10" s="163"/>
      <c r="E10" s="163"/>
      <c r="F10" s="163"/>
      <c r="G10" s="163"/>
    </row>
    <row r="11" spans="1:8" ht="24.75" customHeight="1">
      <c r="A11" s="163"/>
      <c r="B11" s="163"/>
      <c r="C11" s="163"/>
      <c r="D11" s="163"/>
      <c r="E11" s="163"/>
      <c r="F11" s="163"/>
      <c r="G11" s="163"/>
    </row>
    <row r="12" spans="1:8" ht="24.75" customHeight="1">
      <c r="A12" s="163"/>
      <c r="B12" s="163"/>
      <c r="C12" s="163"/>
      <c r="D12" s="163"/>
      <c r="E12" s="163"/>
      <c r="F12" s="163"/>
      <c r="G12" s="163"/>
    </row>
    <row r="13" spans="1:8" ht="24.75" customHeight="1">
      <c r="A13" s="163"/>
      <c r="B13" s="163"/>
      <c r="C13" s="163"/>
      <c r="D13" s="163"/>
      <c r="E13" s="163"/>
      <c r="F13" s="163"/>
      <c r="G13" s="163"/>
    </row>
    <row r="14" spans="1:8" ht="24.75" customHeight="1">
      <c r="A14" s="163"/>
      <c r="B14" s="163"/>
      <c r="C14" s="163"/>
      <c r="D14" s="163"/>
      <c r="E14" s="163"/>
      <c r="F14" s="163"/>
      <c r="G14" s="163"/>
    </row>
    <row r="15" spans="1:8">
      <c r="A15" s="159"/>
      <c r="B15" s="159"/>
      <c r="C15" s="159"/>
      <c r="D15" s="159"/>
      <c r="E15" s="164"/>
      <c r="F15" s="164"/>
      <c r="G15" s="164"/>
    </row>
    <row r="16" spans="1:8">
      <c r="A16" s="165" t="s">
        <v>562</v>
      </c>
      <c r="B16" s="165"/>
      <c r="C16" s="165"/>
      <c r="F16" s="166" t="s">
        <v>16</v>
      </c>
      <c r="G16" s="166"/>
    </row>
    <row r="17" spans="1:6">
      <c r="A17" s="158" t="s">
        <v>563</v>
      </c>
      <c r="B17" s="165"/>
      <c r="F17" s="167" t="s">
        <v>564</v>
      </c>
    </row>
    <row r="18" spans="1:6">
      <c r="A18" s="165"/>
      <c r="B18" s="165"/>
    </row>
  </sheetData>
  <mergeCells count="4">
    <mergeCell ref="A1:B3"/>
    <mergeCell ref="C1:F3"/>
    <mergeCell ref="A4:G4"/>
    <mergeCell ref="A6:C6"/>
  </mergeCells>
  <pageMargins left="0" right="0" top="0.52" bottom="1" header="0.5" footer="0.5"/>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B4BC-8B5D-416F-8777-E98DE12B1D5C}">
  <sheetPr>
    <tabColor rgb="FFFF66FF"/>
  </sheetPr>
  <dimension ref="A1:L16"/>
  <sheetViews>
    <sheetView zoomScale="68" zoomScaleNormal="68" workbookViewId="0">
      <selection activeCell="F10" sqref="F10:G10"/>
    </sheetView>
  </sheetViews>
  <sheetFormatPr defaultColWidth="7.81640625" defaultRowHeight="15.6"/>
  <cols>
    <col min="1" max="1" width="10.90625" style="143" customWidth="1"/>
    <col min="2" max="12" width="8.453125" style="143" customWidth="1"/>
    <col min="13" max="256" width="7.81640625" style="143"/>
    <col min="257" max="257" width="10.90625" style="143" customWidth="1"/>
    <col min="258" max="268" width="8.453125" style="143" customWidth="1"/>
    <col min="269" max="512" width="7.81640625" style="143"/>
    <col min="513" max="513" width="10.90625" style="143" customWidth="1"/>
    <col min="514" max="524" width="8.453125" style="143" customWidth="1"/>
    <col min="525" max="768" width="7.81640625" style="143"/>
    <col min="769" max="769" width="10.90625" style="143" customWidth="1"/>
    <col min="770" max="780" width="8.453125" style="143" customWidth="1"/>
    <col min="781" max="1024" width="7.81640625" style="143"/>
    <col min="1025" max="1025" width="10.90625" style="143" customWidth="1"/>
    <col min="1026" max="1036" width="8.453125" style="143" customWidth="1"/>
    <col min="1037" max="1280" width="7.81640625" style="143"/>
    <col min="1281" max="1281" width="10.90625" style="143" customWidth="1"/>
    <col min="1282" max="1292" width="8.453125" style="143" customWidth="1"/>
    <col min="1293" max="1536" width="7.81640625" style="143"/>
    <col min="1537" max="1537" width="10.90625" style="143" customWidth="1"/>
    <col min="1538" max="1548" width="8.453125" style="143" customWidth="1"/>
    <col min="1549" max="1792" width="7.81640625" style="143"/>
    <col min="1793" max="1793" width="10.90625" style="143" customWidth="1"/>
    <col min="1794" max="1804" width="8.453125" style="143" customWidth="1"/>
    <col min="1805" max="2048" width="7.81640625" style="143"/>
    <col min="2049" max="2049" width="10.90625" style="143" customWidth="1"/>
    <col min="2050" max="2060" width="8.453125" style="143" customWidth="1"/>
    <col min="2061" max="2304" width="7.81640625" style="143"/>
    <col min="2305" max="2305" width="10.90625" style="143" customWidth="1"/>
    <col min="2306" max="2316" width="8.453125" style="143" customWidth="1"/>
    <col min="2317" max="2560" width="7.81640625" style="143"/>
    <col min="2561" max="2561" width="10.90625" style="143" customWidth="1"/>
    <col min="2562" max="2572" width="8.453125" style="143" customWidth="1"/>
    <col min="2573" max="2816" width="7.81640625" style="143"/>
    <col min="2817" max="2817" width="10.90625" style="143" customWidth="1"/>
    <col min="2818" max="2828" width="8.453125" style="143" customWidth="1"/>
    <col min="2829" max="3072" width="7.81640625" style="143"/>
    <col min="3073" max="3073" width="10.90625" style="143" customWidth="1"/>
    <col min="3074" max="3084" width="8.453125" style="143" customWidth="1"/>
    <col min="3085" max="3328" width="7.81640625" style="143"/>
    <col min="3329" max="3329" width="10.90625" style="143" customWidth="1"/>
    <col min="3330" max="3340" width="8.453125" style="143" customWidth="1"/>
    <col min="3341" max="3584" width="7.81640625" style="143"/>
    <col min="3585" max="3585" width="10.90625" style="143" customWidth="1"/>
    <col min="3586" max="3596" width="8.453125" style="143" customWidth="1"/>
    <col min="3597" max="3840" width="7.81640625" style="143"/>
    <col min="3841" max="3841" width="10.90625" style="143" customWidth="1"/>
    <col min="3842" max="3852" width="8.453125" style="143" customWidth="1"/>
    <col min="3853" max="4096" width="7.81640625" style="143"/>
    <col min="4097" max="4097" width="10.90625" style="143" customWidth="1"/>
    <col min="4098" max="4108" width="8.453125" style="143" customWidth="1"/>
    <col min="4109" max="4352" width="7.81640625" style="143"/>
    <col min="4353" max="4353" width="10.90625" style="143" customWidth="1"/>
    <col min="4354" max="4364" width="8.453125" style="143" customWidth="1"/>
    <col min="4365" max="4608" width="7.81640625" style="143"/>
    <col min="4609" max="4609" width="10.90625" style="143" customWidth="1"/>
    <col min="4610" max="4620" width="8.453125" style="143" customWidth="1"/>
    <col min="4621" max="4864" width="7.81640625" style="143"/>
    <col min="4865" max="4865" width="10.90625" style="143" customWidth="1"/>
    <col min="4866" max="4876" width="8.453125" style="143" customWidth="1"/>
    <col min="4877" max="5120" width="7.81640625" style="143"/>
    <col min="5121" max="5121" width="10.90625" style="143" customWidth="1"/>
    <col min="5122" max="5132" width="8.453125" style="143" customWidth="1"/>
    <col min="5133" max="5376" width="7.81640625" style="143"/>
    <col min="5377" max="5377" width="10.90625" style="143" customWidth="1"/>
    <col min="5378" max="5388" width="8.453125" style="143" customWidth="1"/>
    <col min="5389" max="5632" width="7.81640625" style="143"/>
    <col min="5633" max="5633" width="10.90625" style="143" customWidth="1"/>
    <col min="5634" max="5644" width="8.453125" style="143" customWidth="1"/>
    <col min="5645" max="5888" width="7.81640625" style="143"/>
    <col min="5889" max="5889" width="10.90625" style="143" customWidth="1"/>
    <col min="5890" max="5900" width="8.453125" style="143" customWidth="1"/>
    <col min="5901" max="6144" width="7.81640625" style="143"/>
    <col min="6145" max="6145" width="10.90625" style="143" customWidth="1"/>
    <col min="6146" max="6156" width="8.453125" style="143" customWidth="1"/>
    <col min="6157" max="6400" width="7.81640625" style="143"/>
    <col min="6401" max="6401" width="10.90625" style="143" customWidth="1"/>
    <col min="6402" max="6412" width="8.453125" style="143" customWidth="1"/>
    <col min="6413" max="6656" width="7.81640625" style="143"/>
    <col min="6657" max="6657" width="10.90625" style="143" customWidth="1"/>
    <col min="6658" max="6668" width="8.453125" style="143" customWidth="1"/>
    <col min="6669" max="6912" width="7.81640625" style="143"/>
    <col min="6913" max="6913" width="10.90625" style="143" customWidth="1"/>
    <col min="6914" max="6924" width="8.453125" style="143" customWidth="1"/>
    <col min="6925" max="7168" width="7.81640625" style="143"/>
    <col min="7169" max="7169" width="10.90625" style="143" customWidth="1"/>
    <col min="7170" max="7180" width="8.453125" style="143" customWidth="1"/>
    <col min="7181" max="7424" width="7.81640625" style="143"/>
    <col min="7425" max="7425" width="10.90625" style="143" customWidth="1"/>
    <col min="7426" max="7436" width="8.453125" style="143" customWidth="1"/>
    <col min="7437" max="7680" width="7.81640625" style="143"/>
    <col min="7681" max="7681" width="10.90625" style="143" customWidth="1"/>
    <col min="7682" max="7692" width="8.453125" style="143" customWidth="1"/>
    <col min="7693" max="7936" width="7.81640625" style="143"/>
    <col min="7937" max="7937" width="10.90625" style="143" customWidth="1"/>
    <col min="7938" max="7948" width="8.453125" style="143" customWidth="1"/>
    <col min="7949" max="8192" width="7.81640625" style="143"/>
    <col min="8193" max="8193" width="10.90625" style="143" customWidth="1"/>
    <col min="8194" max="8204" width="8.453125" style="143" customWidth="1"/>
    <col min="8205" max="8448" width="7.81640625" style="143"/>
    <col min="8449" max="8449" width="10.90625" style="143" customWidth="1"/>
    <col min="8450" max="8460" width="8.453125" style="143" customWidth="1"/>
    <col min="8461" max="8704" width="7.81640625" style="143"/>
    <col min="8705" max="8705" width="10.90625" style="143" customWidth="1"/>
    <col min="8706" max="8716" width="8.453125" style="143" customWidth="1"/>
    <col min="8717" max="8960" width="7.81640625" style="143"/>
    <col min="8961" max="8961" width="10.90625" style="143" customWidth="1"/>
    <col min="8962" max="8972" width="8.453125" style="143" customWidth="1"/>
    <col min="8973" max="9216" width="7.81640625" style="143"/>
    <col min="9217" max="9217" width="10.90625" style="143" customWidth="1"/>
    <col min="9218" max="9228" width="8.453125" style="143" customWidth="1"/>
    <col min="9229" max="9472" width="7.81640625" style="143"/>
    <col min="9473" max="9473" width="10.90625" style="143" customWidth="1"/>
    <col min="9474" max="9484" width="8.453125" style="143" customWidth="1"/>
    <col min="9485" max="9728" width="7.81640625" style="143"/>
    <col min="9729" max="9729" width="10.90625" style="143" customWidth="1"/>
    <col min="9730" max="9740" width="8.453125" style="143" customWidth="1"/>
    <col min="9741" max="9984" width="7.81640625" style="143"/>
    <col min="9985" max="9985" width="10.90625" style="143" customWidth="1"/>
    <col min="9986" max="9996" width="8.453125" style="143" customWidth="1"/>
    <col min="9997" max="10240" width="7.81640625" style="143"/>
    <col min="10241" max="10241" width="10.90625" style="143" customWidth="1"/>
    <col min="10242" max="10252" width="8.453125" style="143" customWidth="1"/>
    <col min="10253" max="10496" width="7.81640625" style="143"/>
    <col min="10497" max="10497" width="10.90625" style="143" customWidth="1"/>
    <col min="10498" max="10508" width="8.453125" style="143" customWidth="1"/>
    <col min="10509" max="10752" width="7.81640625" style="143"/>
    <col min="10753" max="10753" width="10.90625" style="143" customWidth="1"/>
    <col min="10754" max="10764" width="8.453125" style="143" customWidth="1"/>
    <col min="10765" max="11008" width="7.81640625" style="143"/>
    <col min="11009" max="11009" width="10.90625" style="143" customWidth="1"/>
    <col min="11010" max="11020" width="8.453125" style="143" customWidth="1"/>
    <col min="11021" max="11264" width="7.81640625" style="143"/>
    <col min="11265" max="11265" width="10.90625" style="143" customWidth="1"/>
    <col min="11266" max="11276" width="8.453125" style="143" customWidth="1"/>
    <col min="11277" max="11520" width="7.81640625" style="143"/>
    <col min="11521" max="11521" width="10.90625" style="143" customWidth="1"/>
    <col min="11522" max="11532" width="8.453125" style="143" customWidth="1"/>
    <col min="11533" max="11776" width="7.81640625" style="143"/>
    <col min="11777" max="11777" width="10.90625" style="143" customWidth="1"/>
    <col min="11778" max="11788" width="8.453125" style="143" customWidth="1"/>
    <col min="11789" max="12032" width="7.81640625" style="143"/>
    <col min="12033" max="12033" width="10.90625" style="143" customWidth="1"/>
    <col min="12034" max="12044" width="8.453125" style="143" customWidth="1"/>
    <col min="12045" max="12288" width="7.81640625" style="143"/>
    <col min="12289" max="12289" width="10.90625" style="143" customWidth="1"/>
    <col min="12290" max="12300" width="8.453125" style="143" customWidth="1"/>
    <col min="12301" max="12544" width="7.81640625" style="143"/>
    <col min="12545" max="12545" width="10.90625" style="143" customWidth="1"/>
    <col min="12546" max="12556" width="8.453125" style="143" customWidth="1"/>
    <col min="12557" max="12800" width="7.81640625" style="143"/>
    <col min="12801" max="12801" width="10.90625" style="143" customWidth="1"/>
    <col min="12802" max="12812" width="8.453125" style="143" customWidth="1"/>
    <col min="12813" max="13056" width="7.81640625" style="143"/>
    <col min="13057" max="13057" width="10.90625" style="143" customWidth="1"/>
    <col min="13058" max="13068" width="8.453125" style="143" customWidth="1"/>
    <col min="13069" max="13312" width="7.81640625" style="143"/>
    <col min="13313" max="13313" width="10.90625" style="143" customWidth="1"/>
    <col min="13314" max="13324" width="8.453125" style="143" customWidth="1"/>
    <col min="13325" max="13568" width="7.81640625" style="143"/>
    <col min="13569" max="13569" width="10.90625" style="143" customWidth="1"/>
    <col min="13570" max="13580" width="8.453125" style="143" customWidth="1"/>
    <col min="13581" max="13824" width="7.81640625" style="143"/>
    <col min="13825" max="13825" width="10.90625" style="143" customWidth="1"/>
    <col min="13826" max="13836" width="8.453125" style="143" customWidth="1"/>
    <col min="13837" max="14080" width="7.81640625" style="143"/>
    <col min="14081" max="14081" width="10.90625" style="143" customWidth="1"/>
    <col min="14082" max="14092" width="8.453125" style="143" customWidth="1"/>
    <col min="14093" max="14336" width="7.81640625" style="143"/>
    <col min="14337" max="14337" width="10.90625" style="143" customWidth="1"/>
    <col min="14338" max="14348" width="8.453125" style="143" customWidth="1"/>
    <col min="14349" max="14592" width="7.81640625" style="143"/>
    <col min="14593" max="14593" width="10.90625" style="143" customWidth="1"/>
    <col min="14594" max="14604" width="8.453125" style="143" customWidth="1"/>
    <col min="14605" max="14848" width="7.81640625" style="143"/>
    <col min="14849" max="14849" width="10.90625" style="143" customWidth="1"/>
    <col min="14850" max="14860" width="8.453125" style="143" customWidth="1"/>
    <col min="14861" max="15104" width="7.81640625" style="143"/>
    <col min="15105" max="15105" width="10.90625" style="143" customWidth="1"/>
    <col min="15106" max="15116" width="8.453125" style="143" customWidth="1"/>
    <col min="15117" max="15360" width="7.81640625" style="143"/>
    <col min="15361" max="15361" width="10.90625" style="143" customWidth="1"/>
    <col min="15362" max="15372" width="8.453125" style="143" customWidth="1"/>
    <col min="15373" max="15616" width="7.81640625" style="143"/>
    <col min="15617" max="15617" width="10.90625" style="143" customWidth="1"/>
    <col min="15618" max="15628" width="8.453125" style="143" customWidth="1"/>
    <col min="15629" max="15872" width="7.81640625" style="143"/>
    <col min="15873" max="15873" width="10.90625" style="143" customWidth="1"/>
    <col min="15874" max="15884" width="8.453125" style="143" customWidth="1"/>
    <col min="15885" max="16128" width="7.81640625" style="143"/>
    <col min="16129" max="16129" width="10.90625" style="143" customWidth="1"/>
    <col min="16130" max="16140" width="8.453125" style="143" customWidth="1"/>
    <col min="16141" max="16384" width="7.81640625" style="143"/>
  </cols>
  <sheetData>
    <row r="1" spans="1:12" s="140" customFormat="1" ht="20.25" customHeight="1">
      <c r="A1" s="470"/>
      <c r="B1" s="470"/>
      <c r="C1" s="473" t="s">
        <v>531</v>
      </c>
      <c r="D1" s="473"/>
      <c r="E1" s="473"/>
      <c r="F1" s="473"/>
      <c r="G1" s="473"/>
      <c r="H1" s="473"/>
      <c r="I1" s="473"/>
      <c r="J1" s="473"/>
      <c r="K1" s="476" t="s">
        <v>532</v>
      </c>
      <c r="L1" s="476"/>
    </row>
    <row r="2" spans="1:12" s="140" customFormat="1" ht="24.9" customHeight="1">
      <c r="A2" s="471"/>
      <c r="B2" s="471"/>
      <c r="C2" s="474"/>
      <c r="D2" s="474"/>
      <c r="E2" s="474"/>
      <c r="F2" s="474"/>
      <c r="G2" s="474"/>
      <c r="H2" s="474"/>
      <c r="I2" s="474"/>
      <c r="J2" s="474"/>
      <c r="K2" s="477" t="s">
        <v>81</v>
      </c>
      <c r="L2" s="477"/>
    </row>
    <row r="3" spans="1:12" s="140" customFormat="1" ht="24.9" customHeight="1" thickBot="1">
      <c r="A3" s="472"/>
      <c r="B3" s="472"/>
      <c r="C3" s="475"/>
      <c r="D3" s="475"/>
      <c r="E3" s="475"/>
      <c r="F3" s="475"/>
      <c r="G3" s="475"/>
      <c r="H3" s="475"/>
      <c r="I3" s="475"/>
      <c r="J3" s="475"/>
      <c r="K3" s="478" t="s">
        <v>82</v>
      </c>
      <c r="L3" s="478"/>
    </row>
    <row r="4" spans="1:12" s="141" customFormat="1" ht="9.9" customHeight="1"/>
    <row r="5" spans="1:12" ht="26.25" customHeight="1">
      <c r="A5" s="487" t="s">
        <v>534</v>
      </c>
      <c r="B5" s="488"/>
      <c r="H5" s="485" t="s">
        <v>774</v>
      </c>
      <c r="I5" s="485"/>
      <c r="J5" s="274"/>
    </row>
    <row r="6" spans="1:12" ht="23.1" customHeight="1">
      <c r="A6" s="142" t="s">
        <v>533</v>
      </c>
      <c r="B6" s="274"/>
      <c r="H6" s="486"/>
      <c r="I6" s="486"/>
      <c r="J6" s="275"/>
    </row>
    <row r="7" spans="1:12" ht="45.6" customHeight="1">
      <c r="A7" s="144" t="s">
        <v>773</v>
      </c>
      <c r="B7" s="479" t="s">
        <v>769</v>
      </c>
      <c r="C7" s="481"/>
      <c r="D7" s="479" t="s">
        <v>770</v>
      </c>
      <c r="E7" s="481"/>
      <c r="F7" s="479" t="s">
        <v>775</v>
      </c>
      <c r="G7" s="481"/>
      <c r="H7" s="479" t="s">
        <v>771</v>
      </c>
      <c r="I7" s="481"/>
      <c r="J7" s="479" t="s">
        <v>772</v>
      </c>
      <c r="K7" s="480"/>
      <c r="L7" s="481"/>
    </row>
    <row r="8" spans="1:12" ht="56.4" customHeight="1">
      <c r="A8" s="144"/>
      <c r="B8" s="479"/>
      <c r="C8" s="481"/>
      <c r="D8" s="479"/>
      <c r="E8" s="481"/>
      <c r="F8" s="479"/>
      <c r="G8" s="481"/>
      <c r="H8" s="479"/>
      <c r="I8" s="481"/>
      <c r="J8" s="479"/>
      <c r="K8" s="480"/>
      <c r="L8" s="481"/>
    </row>
    <row r="9" spans="1:12" ht="63" customHeight="1">
      <c r="A9" s="144"/>
      <c r="B9" s="479"/>
      <c r="C9" s="481"/>
      <c r="D9" s="479"/>
      <c r="E9" s="481"/>
      <c r="F9" s="479"/>
      <c r="G9" s="481"/>
      <c r="H9" s="479"/>
      <c r="I9" s="481"/>
      <c r="J9" s="479"/>
      <c r="K9" s="480"/>
      <c r="L9" s="481"/>
    </row>
    <row r="10" spans="1:12" ht="45.6" customHeight="1">
      <c r="A10" s="144"/>
      <c r="B10" s="479"/>
      <c r="C10" s="481"/>
      <c r="D10" s="479"/>
      <c r="E10" s="481"/>
      <c r="F10" s="479"/>
      <c r="G10" s="481"/>
      <c r="H10" s="479"/>
      <c r="I10" s="481"/>
      <c r="J10" s="479"/>
      <c r="K10" s="480"/>
      <c r="L10" s="481"/>
    </row>
    <row r="11" spans="1:12" ht="48" customHeight="1">
      <c r="A11" s="144"/>
      <c r="B11" s="479"/>
      <c r="C11" s="481"/>
      <c r="D11" s="479"/>
      <c r="E11" s="481"/>
      <c r="F11" s="479"/>
      <c r="G11" s="481"/>
      <c r="H11" s="479"/>
      <c r="I11" s="481"/>
      <c r="J11" s="479"/>
      <c r="K11" s="480"/>
      <c r="L11" s="481"/>
    </row>
    <row r="12" spans="1:12" ht="39.9" customHeight="1">
      <c r="A12" s="144"/>
      <c r="B12" s="479"/>
      <c r="C12" s="481"/>
      <c r="D12" s="479"/>
      <c r="E12" s="481"/>
      <c r="F12" s="479"/>
      <c r="G12" s="481"/>
      <c r="H12" s="479"/>
      <c r="I12" s="481"/>
      <c r="J12" s="479"/>
      <c r="K12" s="480"/>
      <c r="L12" s="481"/>
    </row>
    <row r="14" spans="1:12">
      <c r="J14" s="484"/>
      <c r="K14" s="482"/>
    </row>
    <row r="15" spans="1:12">
      <c r="J15" s="482"/>
      <c r="K15" s="482"/>
    </row>
    <row r="16" spans="1:12">
      <c r="J16" s="483"/>
      <c r="K16" s="483"/>
    </row>
  </sheetData>
  <mergeCells count="40">
    <mergeCell ref="F10:G10"/>
    <mergeCell ref="H10:I10"/>
    <mergeCell ref="J10:L10"/>
    <mergeCell ref="B12:C12"/>
    <mergeCell ref="D12:E12"/>
    <mergeCell ref="F12:G12"/>
    <mergeCell ref="H12:I12"/>
    <mergeCell ref="J12:L12"/>
    <mergeCell ref="B11:C11"/>
    <mergeCell ref="D11:E11"/>
    <mergeCell ref="F11:G11"/>
    <mergeCell ref="H11:I11"/>
    <mergeCell ref="J11:L11"/>
    <mergeCell ref="H5:I6"/>
    <mergeCell ref="B8:C8"/>
    <mergeCell ref="D8:E8"/>
    <mergeCell ref="F8:G8"/>
    <mergeCell ref="H8:I8"/>
    <mergeCell ref="A5:B5"/>
    <mergeCell ref="J8:L8"/>
    <mergeCell ref="J15:K15"/>
    <mergeCell ref="J16:K16"/>
    <mergeCell ref="B7:C7"/>
    <mergeCell ref="D7:E7"/>
    <mergeCell ref="F7:G7"/>
    <mergeCell ref="H7:I7"/>
    <mergeCell ref="J7:L7"/>
    <mergeCell ref="B9:C9"/>
    <mergeCell ref="D9:E9"/>
    <mergeCell ref="F9:G9"/>
    <mergeCell ref="J14:K14"/>
    <mergeCell ref="H9:I9"/>
    <mergeCell ref="J9:L9"/>
    <mergeCell ref="B10:C10"/>
    <mergeCell ref="D10:E10"/>
    <mergeCell ref="A1:B3"/>
    <mergeCell ref="C1:J3"/>
    <mergeCell ref="K1:L1"/>
    <mergeCell ref="K2:L2"/>
    <mergeCell ref="K3:L3"/>
  </mergeCells>
  <pageMargins left="0.7" right="0.47" top="0.75" bottom="0.75" header="0.3" footer="0.3"/>
  <pageSetup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7153-EE99-4D81-BADB-B8A48F329E5F}">
  <dimension ref="A1:N15"/>
  <sheetViews>
    <sheetView workbookViewId="0">
      <selection activeCell="D1" sqref="D1:M3"/>
    </sheetView>
  </sheetViews>
  <sheetFormatPr defaultRowHeight="14.4"/>
  <cols>
    <col min="1" max="1" width="6.08984375" style="125" customWidth="1"/>
    <col min="2" max="2" width="5.81640625" style="125" customWidth="1"/>
    <col min="3" max="3" width="7.08984375" style="125" customWidth="1"/>
    <col min="4" max="4" width="6.08984375" style="125" customWidth="1"/>
    <col min="5" max="5" width="7.453125" style="125" customWidth="1"/>
    <col min="6" max="6" width="6.6328125" style="125" customWidth="1"/>
    <col min="7" max="7" width="7.1796875" style="125" customWidth="1"/>
    <col min="8" max="8" width="6.54296875" style="125" customWidth="1"/>
    <col min="9" max="9" width="6.81640625" style="125" customWidth="1"/>
    <col min="10" max="10" width="6.54296875" style="125" customWidth="1"/>
    <col min="11" max="11" width="7.36328125" style="125" customWidth="1"/>
    <col min="12" max="12" width="10.6328125" style="125" customWidth="1"/>
    <col min="13" max="13" width="12" style="125" customWidth="1"/>
    <col min="14" max="14" width="18.6328125" style="125" customWidth="1"/>
    <col min="15" max="256" width="9.1796875" style="125"/>
    <col min="257" max="257" width="6.08984375" style="125" customWidth="1"/>
    <col min="258" max="258" width="5.81640625" style="125" customWidth="1"/>
    <col min="259" max="259" width="7.08984375" style="125" customWidth="1"/>
    <col min="260" max="260" width="6.08984375" style="125" customWidth="1"/>
    <col min="261" max="261" width="7.453125" style="125" customWidth="1"/>
    <col min="262" max="262" width="6.6328125" style="125" customWidth="1"/>
    <col min="263" max="263" width="7.1796875" style="125" customWidth="1"/>
    <col min="264" max="264" width="6.54296875" style="125" customWidth="1"/>
    <col min="265" max="265" width="6.81640625" style="125" customWidth="1"/>
    <col min="266" max="266" width="6.54296875" style="125" customWidth="1"/>
    <col min="267" max="267" width="7.36328125" style="125" customWidth="1"/>
    <col min="268" max="268" width="10.6328125" style="125" customWidth="1"/>
    <col min="269" max="269" width="12" style="125" customWidth="1"/>
    <col min="270" max="270" width="18.6328125" style="125" customWidth="1"/>
    <col min="271" max="512" width="9.1796875" style="125"/>
    <col min="513" max="513" width="6.08984375" style="125" customWidth="1"/>
    <col min="514" max="514" width="5.81640625" style="125" customWidth="1"/>
    <col min="515" max="515" width="7.08984375" style="125" customWidth="1"/>
    <col min="516" max="516" width="6.08984375" style="125" customWidth="1"/>
    <col min="517" max="517" width="7.453125" style="125" customWidth="1"/>
    <col min="518" max="518" width="6.6328125" style="125" customWidth="1"/>
    <col min="519" max="519" width="7.1796875" style="125" customWidth="1"/>
    <col min="520" max="520" width="6.54296875" style="125" customWidth="1"/>
    <col min="521" max="521" width="6.81640625" style="125" customWidth="1"/>
    <col min="522" max="522" width="6.54296875" style="125" customWidth="1"/>
    <col min="523" max="523" width="7.36328125" style="125" customWidth="1"/>
    <col min="524" max="524" width="10.6328125" style="125" customWidth="1"/>
    <col min="525" max="525" width="12" style="125" customWidth="1"/>
    <col min="526" max="526" width="18.6328125" style="125" customWidth="1"/>
    <col min="527" max="768" width="9.1796875" style="125"/>
    <col min="769" max="769" width="6.08984375" style="125" customWidth="1"/>
    <col min="770" max="770" width="5.81640625" style="125" customWidth="1"/>
    <col min="771" max="771" width="7.08984375" style="125" customWidth="1"/>
    <col min="772" max="772" width="6.08984375" style="125" customWidth="1"/>
    <col min="773" max="773" width="7.453125" style="125" customWidth="1"/>
    <col min="774" max="774" width="6.6328125" style="125" customWidth="1"/>
    <col min="775" max="775" width="7.1796875" style="125" customWidth="1"/>
    <col min="776" max="776" width="6.54296875" style="125" customWidth="1"/>
    <col min="777" max="777" width="6.81640625" style="125" customWidth="1"/>
    <col min="778" max="778" width="6.54296875" style="125" customWidth="1"/>
    <col min="779" max="779" width="7.36328125" style="125" customWidth="1"/>
    <col min="780" max="780" width="10.6328125" style="125" customWidth="1"/>
    <col min="781" max="781" width="12" style="125" customWidth="1"/>
    <col min="782" max="782" width="18.6328125" style="125" customWidth="1"/>
    <col min="783" max="1024" width="9.1796875" style="125"/>
    <col min="1025" max="1025" width="6.08984375" style="125" customWidth="1"/>
    <col min="1026" max="1026" width="5.81640625" style="125" customWidth="1"/>
    <col min="1027" max="1027" width="7.08984375" style="125" customWidth="1"/>
    <col min="1028" max="1028" width="6.08984375" style="125" customWidth="1"/>
    <col min="1029" max="1029" width="7.453125" style="125" customWidth="1"/>
    <col min="1030" max="1030" width="6.6328125" style="125" customWidth="1"/>
    <col min="1031" max="1031" width="7.1796875" style="125" customWidth="1"/>
    <col min="1032" max="1032" width="6.54296875" style="125" customWidth="1"/>
    <col min="1033" max="1033" width="6.81640625" style="125" customWidth="1"/>
    <col min="1034" max="1034" width="6.54296875" style="125" customWidth="1"/>
    <col min="1035" max="1035" width="7.36328125" style="125" customWidth="1"/>
    <col min="1036" max="1036" width="10.6328125" style="125" customWidth="1"/>
    <col min="1037" max="1037" width="12" style="125" customWidth="1"/>
    <col min="1038" max="1038" width="18.6328125" style="125" customWidth="1"/>
    <col min="1039" max="1280" width="9.1796875" style="125"/>
    <col min="1281" max="1281" width="6.08984375" style="125" customWidth="1"/>
    <col min="1282" max="1282" width="5.81640625" style="125" customWidth="1"/>
    <col min="1283" max="1283" width="7.08984375" style="125" customWidth="1"/>
    <col min="1284" max="1284" width="6.08984375" style="125" customWidth="1"/>
    <col min="1285" max="1285" width="7.453125" style="125" customWidth="1"/>
    <col min="1286" max="1286" width="6.6328125" style="125" customWidth="1"/>
    <col min="1287" max="1287" width="7.1796875" style="125" customWidth="1"/>
    <col min="1288" max="1288" width="6.54296875" style="125" customWidth="1"/>
    <col min="1289" max="1289" width="6.81640625" style="125" customWidth="1"/>
    <col min="1290" max="1290" width="6.54296875" style="125" customWidth="1"/>
    <col min="1291" max="1291" width="7.36328125" style="125" customWidth="1"/>
    <col min="1292" max="1292" width="10.6328125" style="125" customWidth="1"/>
    <col min="1293" max="1293" width="12" style="125" customWidth="1"/>
    <col min="1294" max="1294" width="18.6328125" style="125" customWidth="1"/>
    <col min="1295" max="1536" width="9.1796875" style="125"/>
    <col min="1537" max="1537" width="6.08984375" style="125" customWidth="1"/>
    <col min="1538" max="1538" width="5.81640625" style="125" customWidth="1"/>
    <col min="1539" max="1539" width="7.08984375" style="125" customWidth="1"/>
    <col min="1540" max="1540" width="6.08984375" style="125" customWidth="1"/>
    <col min="1541" max="1541" width="7.453125" style="125" customWidth="1"/>
    <col min="1542" max="1542" width="6.6328125" style="125" customWidth="1"/>
    <col min="1543" max="1543" width="7.1796875" style="125" customWidth="1"/>
    <col min="1544" max="1544" width="6.54296875" style="125" customWidth="1"/>
    <col min="1545" max="1545" width="6.81640625" style="125" customWidth="1"/>
    <col min="1546" max="1546" width="6.54296875" style="125" customWidth="1"/>
    <col min="1547" max="1547" width="7.36328125" style="125" customWidth="1"/>
    <col min="1548" max="1548" width="10.6328125" style="125" customWidth="1"/>
    <col min="1549" max="1549" width="12" style="125" customWidth="1"/>
    <col min="1550" max="1550" width="18.6328125" style="125" customWidth="1"/>
    <col min="1551" max="1792" width="9.1796875" style="125"/>
    <col min="1793" max="1793" width="6.08984375" style="125" customWidth="1"/>
    <col min="1794" max="1794" width="5.81640625" style="125" customWidth="1"/>
    <col min="1795" max="1795" width="7.08984375" style="125" customWidth="1"/>
    <col min="1796" max="1796" width="6.08984375" style="125" customWidth="1"/>
    <col min="1797" max="1797" width="7.453125" style="125" customWidth="1"/>
    <col min="1798" max="1798" width="6.6328125" style="125" customWidth="1"/>
    <col min="1799" max="1799" width="7.1796875" style="125" customWidth="1"/>
    <col min="1800" max="1800" width="6.54296875" style="125" customWidth="1"/>
    <col min="1801" max="1801" width="6.81640625" style="125" customWidth="1"/>
    <col min="1802" max="1802" width="6.54296875" style="125" customWidth="1"/>
    <col min="1803" max="1803" width="7.36328125" style="125" customWidth="1"/>
    <col min="1804" max="1804" width="10.6328125" style="125" customWidth="1"/>
    <col min="1805" max="1805" width="12" style="125" customWidth="1"/>
    <col min="1806" max="1806" width="18.6328125" style="125" customWidth="1"/>
    <col min="1807" max="2048" width="9.1796875" style="125"/>
    <col min="2049" max="2049" width="6.08984375" style="125" customWidth="1"/>
    <col min="2050" max="2050" width="5.81640625" style="125" customWidth="1"/>
    <col min="2051" max="2051" width="7.08984375" style="125" customWidth="1"/>
    <col min="2052" max="2052" width="6.08984375" style="125" customWidth="1"/>
    <col min="2053" max="2053" width="7.453125" style="125" customWidth="1"/>
    <col min="2054" max="2054" width="6.6328125" style="125" customWidth="1"/>
    <col min="2055" max="2055" width="7.1796875" style="125" customWidth="1"/>
    <col min="2056" max="2056" width="6.54296875" style="125" customWidth="1"/>
    <col min="2057" max="2057" width="6.81640625" style="125" customWidth="1"/>
    <col min="2058" max="2058" width="6.54296875" style="125" customWidth="1"/>
    <col min="2059" max="2059" width="7.36328125" style="125" customWidth="1"/>
    <col min="2060" max="2060" width="10.6328125" style="125" customWidth="1"/>
    <col min="2061" max="2061" width="12" style="125" customWidth="1"/>
    <col min="2062" max="2062" width="18.6328125" style="125" customWidth="1"/>
    <col min="2063" max="2304" width="9.1796875" style="125"/>
    <col min="2305" max="2305" width="6.08984375" style="125" customWidth="1"/>
    <col min="2306" max="2306" width="5.81640625" style="125" customWidth="1"/>
    <col min="2307" max="2307" width="7.08984375" style="125" customWidth="1"/>
    <col min="2308" max="2308" width="6.08984375" style="125" customWidth="1"/>
    <col min="2309" max="2309" width="7.453125" style="125" customWidth="1"/>
    <col min="2310" max="2310" width="6.6328125" style="125" customWidth="1"/>
    <col min="2311" max="2311" width="7.1796875" style="125" customWidth="1"/>
    <col min="2312" max="2312" width="6.54296875" style="125" customWidth="1"/>
    <col min="2313" max="2313" width="6.81640625" style="125" customWidth="1"/>
    <col min="2314" max="2314" width="6.54296875" style="125" customWidth="1"/>
    <col min="2315" max="2315" width="7.36328125" style="125" customWidth="1"/>
    <col min="2316" max="2316" width="10.6328125" style="125" customWidth="1"/>
    <col min="2317" max="2317" width="12" style="125" customWidth="1"/>
    <col min="2318" max="2318" width="18.6328125" style="125" customWidth="1"/>
    <col min="2319" max="2560" width="9.1796875" style="125"/>
    <col min="2561" max="2561" width="6.08984375" style="125" customWidth="1"/>
    <col min="2562" max="2562" width="5.81640625" style="125" customWidth="1"/>
    <col min="2563" max="2563" width="7.08984375" style="125" customWidth="1"/>
    <col min="2564" max="2564" width="6.08984375" style="125" customWidth="1"/>
    <col min="2565" max="2565" width="7.453125" style="125" customWidth="1"/>
    <col min="2566" max="2566" width="6.6328125" style="125" customWidth="1"/>
    <col min="2567" max="2567" width="7.1796875" style="125" customWidth="1"/>
    <col min="2568" max="2568" width="6.54296875" style="125" customWidth="1"/>
    <col min="2569" max="2569" width="6.81640625" style="125" customWidth="1"/>
    <col min="2570" max="2570" width="6.54296875" style="125" customWidth="1"/>
    <col min="2571" max="2571" width="7.36328125" style="125" customWidth="1"/>
    <col min="2572" max="2572" width="10.6328125" style="125" customWidth="1"/>
    <col min="2573" max="2573" width="12" style="125" customWidth="1"/>
    <col min="2574" max="2574" width="18.6328125" style="125" customWidth="1"/>
    <col min="2575" max="2816" width="9.1796875" style="125"/>
    <col min="2817" max="2817" width="6.08984375" style="125" customWidth="1"/>
    <col min="2818" max="2818" width="5.81640625" style="125" customWidth="1"/>
    <col min="2819" max="2819" width="7.08984375" style="125" customWidth="1"/>
    <col min="2820" max="2820" width="6.08984375" style="125" customWidth="1"/>
    <col min="2821" max="2821" width="7.453125" style="125" customWidth="1"/>
    <col min="2822" max="2822" width="6.6328125" style="125" customWidth="1"/>
    <col min="2823" max="2823" width="7.1796875" style="125" customWidth="1"/>
    <col min="2824" max="2824" width="6.54296875" style="125" customWidth="1"/>
    <col min="2825" max="2825" width="6.81640625" style="125" customWidth="1"/>
    <col min="2826" max="2826" width="6.54296875" style="125" customWidth="1"/>
    <col min="2827" max="2827" width="7.36328125" style="125" customWidth="1"/>
    <col min="2828" max="2828" width="10.6328125" style="125" customWidth="1"/>
    <col min="2829" max="2829" width="12" style="125" customWidth="1"/>
    <col min="2830" max="2830" width="18.6328125" style="125" customWidth="1"/>
    <col min="2831" max="3072" width="9.1796875" style="125"/>
    <col min="3073" max="3073" width="6.08984375" style="125" customWidth="1"/>
    <col min="3074" max="3074" width="5.81640625" style="125" customWidth="1"/>
    <col min="3075" max="3075" width="7.08984375" style="125" customWidth="1"/>
    <col min="3076" max="3076" width="6.08984375" style="125" customWidth="1"/>
    <col min="3077" max="3077" width="7.453125" style="125" customWidth="1"/>
    <col min="3078" max="3078" width="6.6328125" style="125" customWidth="1"/>
    <col min="3079" max="3079" width="7.1796875" style="125" customWidth="1"/>
    <col min="3080" max="3080" width="6.54296875" style="125" customWidth="1"/>
    <col min="3081" max="3081" width="6.81640625" style="125" customWidth="1"/>
    <col min="3082" max="3082" width="6.54296875" style="125" customWidth="1"/>
    <col min="3083" max="3083" width="7.36328125" style="125" customWidth="1"/>
    <col min="3084" max="3084" width="10.6328125" style="125" customWidth="1"/>
    <col min="3085" max="3085" width="12" style="125" customWidth="1"/>
    <col min="3086" max="3086" width="18.6328125" style="125" customWidth="1"/>
    <col min="3087" max="3328" width="9.1796875" style="125"/>
    <col min="3329" max="3329" width="6.08984375" style="125" customWidth="1"/>
    <col min="3330" max="3330" width="5.81640625" style="125" customWidth="1"/>
    <col min="3331" max="3331" width="7.08984375" style="125" customWidth="1"/>
    <col min="3332" max="3332" width="6.08984375" style="125" customWidth="1"/>
    <col min="3333" max="3333" width="7.453125" style="125" customWidth="1"/>
    <col min="3334" max="3334" width="6.6328125" style="125" customWidth="1"/>
    <col min="3335" max="3335" width="7.1796875" style="125" customWidth="1"/>
    <col min="3336" max="3336" width="6.54296875" style="125" customWidth="1"/>
    <col min="3337" max="3337" width="6.81640625" style="125" customWidth="1"/>
    <col min="3338" max="3338" width="6.54296875" style="125" customWidth="1"/>
    <col min="3339" max="3339" width="7.36328125" style="125" customWidth="1"/>
    <col min="3340" max="3340" width="10.6328125" style="125" customWidth="1"/>
    <col min="3341" max="3341" width="12" style="125" customWidth="1"/>
    <col min="3342" max="3342" width="18.6328125" style="125" customWidth="1"/>
    <col min="3343" max="3584" width="9.1796875" style="125"/>
    <col min="3585" max="3585" width="6.08984375" style="125" customWidth="1"/>
    <col min="3586" max="3586" width="5.81640625" style="125" customWidth="1"/>
    <col min="3587" max="3587" width="7.08984375" style="125" customWidth="1"/>
    <col min="3588" max="3588" width="6.08984375" style="125" customWidth="1"/>
    <col min="3589" max="3589" width="7.453125" style="125" customWidth="1"/>
    <col min="3590" max="3590" width="6.6328125" style="125" customWidth="1"/>
    <col min="3591" max="3591" width="7.1796875" style="125" customWidth="1"/>
    <col min="3592" max="3592" width="6.54296875" style="125" customWidth="1"/>
    <col min="3593" max="3593" width="6.81640625" style="125" customWidth="1"/>
    <col min="3594" max="3594" width="6.54296875" style="125" customWidth="1"/>
    <col min="3595" max="3595" width="7.36328125" style="125" customWidth="1"/>
    <col min="3596" max="3596" width="10.6328125" style="125" customWidth="1"/>
    <col min="3597" max="3597" width="12" style="125" customWidth="1"/>
    <col min="3598" max="3598" width="18.6328125" style="125" customWidth="1"/>
    <col min="3599" max="3840" width="9.1796875" style="125"/>
    <col min="3841" max="3841" width="6.08984375" style="125" customWidth="1"/>
    <col min="3842" max="3842" width="5.81640625" style="125" customWidth="1"/>
    <col min="3843" max="3843" width="7.08984375" style="125" customWidth="1"/>
    <col min="3844" max="3844" width="6.08984375" style="125" customWidth="1"/>
    <col min="3845" max="3845" width="7.453125" style="125" customWidth="1"/>
    <col min="3846" max="3846" width="6.6328125" style="125" customWidth="1"/>
    <col min="3847" max="3847" width="7.1796875" style="125" customWidth="1"/>
    <col min="3848" max="3848" width="6.54296875" style="125" customWidth="1"/>
    <col min="3849" max="3849" width="6.81640625" style="125" customWidth="1"/>
    <col min="3850" max="3850" width="6.54296875" style="125" customWidth="1"/>
    <col min="3851" max="3851" width="7.36328125" style="125" customWidth="1"/>
    <col min="3852" max="3852" width="10.6328125" style="125" customWidth="1"/>
    <col min="3853" max="3853" width="12" style="125" customWidth="1"/>
    <col min="3854" max="3854" width="18.6328125" style="125" customWidth="1"/>
    <col min="3855" max="4096" width="9.1796875" style="125"/>
    <col min="4097" max="4097" width="6.08984375" style="125" customWidth="1"/>
    <col min="4098" max="4098" width="5.81640625" style="125" customWidth="1"/>
    <col min="4099" max="4099" width="7.08984375" style="125" customWidth="1"/>
    <col min="4100" max="4100" width="6.08984375" style="125" customWidth="1"/>
    <col min="4101" max="4101" width="7.453125" style="125" customWidth="1"/>
    <col min="4102" max="4102" width="6.6328125" style="125" customWidth="1"/>
    <col min="4103" max="4103" width="7.1796875" style="125" customWidth="1"/>
    <col min="4104" max="4104" width="6.54296875" style="125" customWidth="1"/>
    <col min="4105" max="4105" width="6.81640625" style="125" customWidth="1"/>
    <col min="4106" max="4106" width="6.54296875" style="125" customWidth="1"/>
    <col min="4107" max="4107" width="7.36328125" style="125" customWidth="1"/>
    <col min="4108" max="4108" width="10.6328125" style="125" customWidth="1"/>
    <col min="4109" max="4109" width="12" style="125" customWidth="1"/>
    <col min="4110" max="4110" width="18.6328125" style="125" customWidth="1"/>
    <col min="4111" max="4352" width="9.1796875" style="125"/>
    <col min="4353" max="4353" width="6.08984375" style="125" customWidth="1"/>
    <col min="4354" max="4354" width="5.81640625" style="125" customWidth="1"/>
    <col min="4355" max="4355" width="7.08984375" style="125" customWidth="1"/>
    <col min="4356" max="4356" width="6.08984375" style="125" customWidth="1"/>
    <col min="4357" max="4357" width="7.453125" style="125" customWidth="1"/>
    <col min="4358" max="4358" width="6.6328125" style="125" customWidth="1"/>
    <col min="4359" max="4359" width="7.1796875" style="125" customWidth="1"/>
    <col min="4360" max="4360" width="6.54296875" style="125" customWidth="1"/>
    <col min="4361" max="4361" width="6.81640625" style="125" customWidth="1"/>
    <col min="4362" max="4362" width="6.54296875" style="125" customWidth="1"/>
    <col min="4363" max="4363" width="7.36328125" style="125" customWidth="1"/>
    <col min="4364" max="4364" width="10.6328125" style="125" customWidth="1"/>
    <col min="4365" max="4365" width="12" style="125" customWidth="1"/>
    <col min="4366" max="4366" width="18.6328125" style="125" customWidth="1"/>
    <col min="4367" max="4608" width="9.1796875" style="125"/>
    <col min="4609" max="4609" width="6.08984375" style="125" customWidth="1"/>
    <col min="4610" max="4610" width="5.81640625" style="125" customWidth="1"/>
    <col min="4611" max="4611" width="7.08984375" style="125" customWidth="1"/>
    <col min="4612" max="4612" width="6.08984375" style="125" customWidth="1"/>
    <col min="4613" max="4613" width="7.453125" style="125" customWidth="1"/>
    <col min="4614" max="4614" width="6.6328125" style="125" customWidth="1"/>
    <col min="4615" max="4615" width="7.1796875" style="125" customWidth="1"/>
    <col min="4616" max="4616" width="6.54296875" style="125" customWidth="1"/>
    <col min="4617" max="4617" width="6.81640625" style="125" customWidth="1"/>
    <col min="4618" max="4618" width="6.54296875" style="125" customWidth="1"/>
    <col min="4619" max="4619" width="7.36328125" style="125" customWidth="1"/>
    <col min="4620" max="4620" width="10.6328125" style="125" customWidth="1"/>
    <col min="4621" max="4621" width="12" style="125" customWidth="1"/>
    <col min="4622" max="4622" width="18.6328125" style="125" customWidth="1"/>
    <col min="4623" max="4864" width="9.1796875" style="125"/>
    <col min="4865" max="4865" width="6.08984375" style="125" customWidth="1"/>
    <col min="4866" max="4866" width="5.81640625" style="125" customWidth="1"/>
    <col min="4867" max="4867" width="7.08984375" style="125" customWidth="1"/>
    <col min="4868" max="4868" width="6.08984375" style="125" customWidth="1"/>
    <col min="4869" max="4869" width="7.453125" style="125" customWidth="1"/>
    <col min="4870" max="4870" width="6.6328125" style="125" customWidth="1"/>
    <col min="4871" max="4871" width="7.1796875" style="125" customWidth="1"/>
    <col min="4872" max="4872" width="6.54296875" style="125" customWidth="1"/>
    <col min="4873" max="4873" width="6.81640625" style="125" customWidth="1"/>
    <col min="4874" max="4874" width="6.54296875" style="125" customWidth="1"/>
    <col min="4875" max="4875" width="7.36328125" style="125" customWidth="1"/>
    <col min="4876" max="4876" width="10.6328125" style="125" customWidth="1"/>
    <col min="4877" max="4877" width="12" style="125" customWidth="1"/>
    <col min="4878" max="4878" width="18.6328125" style="125" customWidth="1"/>
    <col min="4879" max="5120" width="9.1796875" style="125"/>
    <col min="5121" max="5121" width="6.08984375" style="125" customWidth="1"/>
    <col min="5122" max="5122" width="5.81640625" style="125" customWidth="1"/>
    <col min="5123" max="5123" width="7.08984375" style="125" customWidth="1"/>
    <col min="5124" max="5124" width="6.08984375" style="125" customWidth="1"/>
    <col min="5125" max="5125" width="7.453125" style="125" customWidth="1"/>
    <col min="5126" max="5126" width="6.6328125" style="125" customWidth="1"/>
    <col min="5127" max="5127" width="7.1796875" style="125" customWidth="1"/>
    <col min="5128" max="5128" width="6.54296875" style="125" customWidth="1"/>
    <col min="5129" max="5129" width="6.81640625" style="125" customWidth="1"/>
    <col min="5130" max="5130" width="6.54296875" style="125" customWidth="1"/>
    <col min="5131" max="5131" width="7.36328125" style="125" customWidth="1"/>
    <col min="5132" max="5132" width="10.6328125" style="125" customWidth="1"/>
    <col min="5133" max="5133" width="12" style="125" customWidth="1"/>
    <col min="5134" max="5134" width="18.6328125" style="125" customWidth="1"/>
    <col min="5135" max="5376" width="9.1796875" style="125"/>
    <col min="5377" max="5377" width="6.08984375" style="125" customWidth="1"/>
    <col min="5378" max="5378" width="5.81640625" style="125" customWidth="1"/>
    <col min="5379" max="5379" width="7.08984375" style="125" customWidth="1"/>
    <col min="5380" max="5380" width="6.08984375" style="125" customWidth="1"/>
    <col min="5381" max="5381" width="7.453125" style="125" customWidth="1"/>
    <col min="5382" max="5382" width="6.6328125" style="125" customWidth="1"/>
    <col min="5383" max="5383" width="7.1796875" style="125" customWidth="1"/>
    <col min="5384" max="5384" width="6.54296875" style="125" customWidth="1"/>
    <col min="5385" max="5385" width="6.81640625" style="125" customWidth="1"/>
    <col min="5386" max="5386" width="6.54296875" style="125" customWidth="1"/>
    <col min="5387" max="5387" width="7.36328125" style="125" customWidth="1"/>
    <col min="5388" max="5388" width="10.6328125" style="125" customWidth="1"/>
    <col min="5389" max="5389" width="12" style="125" customWidth="1"/>
    <col min="5390" max="5390" width="18.6328125" style="125" customWidth="1"/>
    <col min="5391" max="5632" width="9.1796875" style="125"/>
    <col min="5633" max="5633" width="6.08984375" style="125" customWidth="1"/>
    <col min="5634" max="5634" width="5.81640625" style="125" customWidth="1"/>
    <col min="5635" max="5635" width="7.08984375" style="125" customWidth="1"/>
    <col min="5636" max="5636" width="6.08984375" style="125" customWidth="1"/>
    <col min="5637" max="5637" width="7.453125" style="125" customWidth="1"/>
    <col min="5638" max="5638" width="6.6328125" style="125" customWidth="1"/>
    <col min="5639" max="5639" width="7.1796875" style="125" customWidth="1"/>
    <col min="5640" max="5640" width="6.54296875" style="125" customWidth="1"/>
    <col min="5641" max="5641" width="6.81640625" style="125" customWidth="1"/>
    <col min="5642" max="5642" width="6.54296875" style="125" customWidth="1"/>
    <col min="5643" max="5643" width="7.36328125" style="125" customWidth="1"/>
    <col min="5644" max="5644" width="10.6328125" style="125" customWidth="1"/>
    <col min="5645" max="5645" width="12" style="125" customWidth="1"/>
    <col min="5646" max="5646" width="18.6328125" style="125" customWidth="1"/>
    <col min="5647" max="5888" width="9.1796875" style="125"/>
    <col min="5889" max="5889" width="6.08984375" style="125" customWidth="1"/>
    <col min="5890" max="5890" width="5.81640625" style="125" customWidth="1"/>
    <col min="5891" max="5891" width="7.08984375" style="125" customWidth="1"/>
    <col min="5892" max="5892" width="6.08984375" style="125" customWidth="1"/>
    <col min="5893" max="5893" width="7.453125" style="125" customWidth="1"/>
    <col min="5894" max="5894" width="6.6328125" style="125" customWidth="1"/>
    <col min="5895" max="5895" width="7.1796875" style="125" customWidth="1"/>
    <col min="5896" max="5896" width="6.54296875" style="125" customWidth="1"/>
    <col min="5897" max="5897" width="6.81640625" style="125" customWidth="1"/>
    <col min="5898" max="5898" width="6.54296875" style="125" customWidth="1"/>
    <col min="5899" max="5899" width="7.36328125" style="125" customWidth="1"/>
    <col min="5900" max="5900" width="10.6328125" style="125" customWidth="1"/>
    <col min="5901" max="5901" width="12" style="125" customWidth="1"/>
    <col min="5902" max="5902" width="18.6328125" style="125" customWidth="1"/>
    <col min="5903" max="6144" width="9.1796875" style="125"/>
    <col min="6145" max="6145" width="6.08984375" style="125" customWidth="1"/>
    <col min="6146" max="6146" width="5.81640625" style="125" customWidth="1"/>
    <col min="6147" max="6147" width="7.08984375" style="125" customWidth="1"/>
    <col min="6148" max="6148" width="6.08984375" style="125" customWidth="1"/>
    <col min="6149" max="6149" width="7.453125" style="125" customWidth="1"/>
    <col min="6150" max="6150" width="6.6328125" style="125" customWidth="1"/>
    <col min="6151" max="6151" width="7.1796875" style="125" customWidth="1"/>
    <col min="6152" max="6152" width="6.54296875" style="125" customWidth="1"/>
    <col min="6153" max="6153" width="6.81640625" style="125" customWidth="1"/>
    <col min="6154" max="6154" width="6.54296875" style="125" customWidth="1"/>
    <col min="6155" max="6155" width="7.36328125" style="125" customWidth="1"/>
    <col min="6156" max="6156" width="10.6328125" style="125" customWidth="1"/>
    <col min="6157" max="6157" width="12" style="125" customWidth="1"/>
    <col min="6158" max="6158" width="18.6328125" style="125" customWidth="1"/>
    <col min="6159" max="6400" width="9.1796875" style="125"/>
    <col min="6401" max="6401" width="6.08984375" style="125" customWidth="1"/>
    <col min="6402" max="6402" width="5.81640625" style="125" customWidth="1"/>
    <col min="6403" max="6403" width="7.08984375" style="125" customWidth="1"/>
    <col min="6404" max="6404" width="6.08984375" style="125" customWidth="1"/>
    <col min="6405" max="6405" width="7.453125" style="125" customWidth="1"/>
    <col min="6406" max="6406" width="6.6328125" style="125" customWidth="1"/>
    <col min="6407" max="6407" width="7.1796875" style="125" customWidth="1"/>
    <col min="6408" max="6408" width="6.54296875" style="125" customWidth="1"/>
    <col min="6409" max="6409" width="6.81640625" style="125" customWidth="1"/>
    <col min="6410" max="6410" width="6.54296875" style="125" customWidth="1"/>
    <col min="6411" max="6411" width="7.36328125" style="125" customWidth="1"/>
    <col min="6412" max="6412" width="10.6328125" style="125" customWidth="1"/>
    <col min="6413" max="6413" width="12" style="125" customWidth="1"/>
    <col min="6414" max="6414" width="18.6328125" style="125" customWidth="1"/>
    <col min="6415" max="6656" width="9.1796875" style="125"/>
    <col min="6657" max="6657" width="6.08984375" style="125" customWidth="1"/>
    <col min="6658" max="6658" width="5.81640625" style="125" customWidth="1"/>
    <col min="6659" max="6659" width="7.08984375" style="125" customWidth="1"/>
    <col min="6660" max="6660" width="6.08984375" style="125" customWidth="1"/>
    <col min="6661" max="6661" width="7.453125" style="125" customWidth="1"/>
    <col min="6662" max="6662" width="6.6328125" style="125" customWidth="1"/>
    <col min="6663" max="6663" width="7.1796875" style="125" customWidth="1"/>
    <col min="6664" max="6664" width="6.54296875" style="125" customWidth="1"/>
    <col min="6665" max="6665" width="6.81640625" style="125" customWidth="1"/>
    <col min="6666" max="6666" width="6.54296875" style="125" customWidth="1"/>
    <col min="6667" max="6667" width="7.36328125" style="125" customWidth="1"/>
    <col min="6668" max="6668" width="10.6328125" style="125" customWidth="1"/>
    <col min="6669" max="6669" width="12" style="125" customWidth="1"/>
    <col min="6670" max="6670" width="18.6328125" style="125" customWidth="1"/>
    <col min="6671" max="6912" width="9.1796875" style="125"/>
    <col min="6913" max="6913" width="6.08984375" style="125" customWidth="1"/>
    <col min="6914" max="6914" width="5.81640625" style="125" customWidth="1"/>
    <col min="6915" max="6915" width="7.08984375" style="125" customWidth="1"/>
    <col min="6916" max="6916" width="6.08984375" style="125" customWidth="1"/>
    <col min="6917" max="6917" width="7.453125" style="125" customWidth="1"/>
    <col min="6918" max="6918" width="6.6328125" style="125" customWidth="1"/>
    <col min="6919" max="6919" width="7.1796875" style="125" customWidth="1"/>
    <col min="6920" max="6920" width="6.54296875" style="125" customWidth="1"/>
    <col min="6921" max="6921" width="6.81640625" style="125" customWidth="1"/>
    <col min="6922" max="6922" width="6.54296875" style="125" customWidth="1"/>
    <col min="6923" max="6923" width="7.36328125" style="125" customWidth="1"/>
    <col min="6924" max="6924" width="10.6328125" style="125" customWidth="1"/>
    <col min="6925" max="6925" width="12" style="125" customWidth="1"/>
    <col min="6926" max="6926" width="18.6328125" style="125" customWidth="1"/>
    <col min="6927" max="7168" width="9.1796875" style="125"/>
    <col min="7169" max="7169" width="6.08984375" style="125" customWidth="1"/>
    <col min="7170" max="7170" width="5.81640625" style="125" customWidth="1"/>
    <col min="7171" max="7171" width="7.08984375" style="125" customWidth="1"/>
    <col min="7172" max="7172" width="6.08984375" style="125" customWidth="1"/>
    <col min="7173" max="7173" width="7.453125" style="125" customWidth="1"/>
    <col min="7174" max="7174" width="6.6328125" style="125" customWidth="1"/>
    <col min="7175" max="7175" width="7.1796875" style="125" customWidth="1"/>
    <col min="7176" max="7176" width="6.54296875" style="125" customWidth="1"/>
    <col min="7177" max="7177" width="6.81640625" style="125" customWidth="1"/>
    <col min="7178" max="7178" width="6.54296875" style="125" customWidth="1"/>
    <col min="7179" max="7179" width="7.36328125" style="125" customWidth="1"/>
    <col min="7180" max="7180" width="10.6328125" style="125" customWidth="1"/>
    <col min="7181" max="7181" width="12" style="125" customWidth="1"/>
    <col min="7182" max="7182" width="18.6328125" style="125" customWidth="1"/>
    <col min="7183" max="7424" width="9.1796875" style="125"/>
    <col min="7425" max="7425" width="6.08984375" style="125" customWidth="1"/>
    <col min="7426" max="7426" width="5.81640625" style="125" customWidth="1"/>
    <col min="7427" max="7427" width="7.08984375" style="125" customWidth="1"/>
    <col min="7428" max="7428" width="6.08984375" style="125" customWidth="1"/>
    <col min="7429" max="7429" width="7.453125" style="125" customWidth="1"/>
    <col min="7430" max="7430" width="6.6328125" style="125" customWidth="1"/>
    <col min="7431" max="7431" width="7.1796875" style="125" customWidth="1"/>
    <col min="7432" max="7432" width="6.54296875" style="125" customWidth="1"/>
    <col min="7433" max="7433" width="6.81640625" style="125" customWidth="1"/>
    <col min="7434" max="7434" width="6.54296875" style="125" customWidth="1"/>
    <col min="7435" max="7435" width="7.36328125" style="125" customWidth="1"/>
    <col min="7436" max="7436" width="10.6328125" style="125" customWidth="1"/>
    <col min="7437" max="7437" width="12" style="125" customWidth="1"/>
    <col min="7438" max="7438" width="18.6328125" style="125" customWidth="1"/>
    <col min="7439" max="7680" width="9.1796875" style="125"/>
    <col min="7681" max="7681" width="6.08984375" style="125" customWidth="1"/>
    <col min="7682" max="7682" width="5.81640625" style="125" customWidth="1"/>
    <col min="7683" max="7683" width="7.08984375" style="125" customWidth="1"/>
    <col min="7684" max="7684" width="6.08984375" style="125" customWidth="1"/>
    <col min="7685" max="7685" width="7.453125" style="125" customWidth="1"/>
    <col min="7686" max="7686" width="6.6328125" style="125" customWidth="1"/>
    <col min="7687" max="7687" width="7.1796875" style="125" customWidth="1"/>
    <col min="7688" max="7688" width="6.54296875" style="125" customWidth="1"/>
    <col min="7689" max="7689" width="6.81640625" style="125" customWidth="1"/>
    <col min="7690" max="7690" width="6.54296875" style="125" customWidth="1"/>
    <col min="7691" max="7691" width="7.36328125" style="125" customWidth="1"/>
    <col min="7692" max="7692" width="10.6328125" style="125" customWidth="1"/>
    <col min="7693" max="7693" width="12" style="125" customWidth="1"/>
    <col min="7694" max="7694" width="18.6328125" style="125" customWidth="1"/>
    <col min="7695" max="7936" width="9.1796875" style="125"/>
    <col min="7937" max="7937" width="6.08984375" style="125" customWidth="1"/>
    <col min="7938" max="7938" width="5.81640625" style="125" customWidth="1"/>
    <col min="7939" max="7939" width="7.08984375" style="125" customWidth="1"/>
    <col min="7940" max="7940" width="6.08984375" style="125" customWidth="1"/>
    <col min="7941" max="7941" width="7.453125" style="125" customWidth="1"/>
    <col min="7942" max="7942" width="6.6328125" style="125" customWidth="1"/>
    <col min="7943" max="7943" width="7.1796875" style="125" customWidth="1"/>
    <col min="7944" max="7944" width="6.54296875" style="125" customWidth="1"/>
    <col min="7945" max="7945" width="6.81640625" style="125" customWidth="1"/>
    <col min="7946" max="7946" width="6.54296875" style="125" customWidth="1"/>
    <col min="7947" max="7947" width="7.36328125" style="125" customWidth="1"/>
    <col min="7948" max="7948" width="10.6328125" style="125" customWidth="1"/>
    <col min="7949" max="7949" width="12" style="125" customWidth="1"/>
    <col min="7950" max="7950" width="18.6328125" style="125" customWidth="1"/>
    <col min="7951" max="8192" width="9.1796875" style="125"/>
    <col min="8193" max="8193" width="6.08984375" style="125" customWidth="1"/>
    <col min="8194" max="8194" width="5.81640625" style="125" customWidth="1"/>
    <col min="8195" max="8195" width="7.08984375" style="125" customWidth="1"/>
    <col min="8196" max="8196" width="6.08984375" style="125" customWidth="1"/>
    <col min="8197" max="8197" width="7.453125" style="125" customWidth="1"/>
    <col min="8198" max="8198" width="6.6328125" style="125" customWidth="1"/>
    <col min="8199" max="8199" width="7.1796875" style="125" customWidth="1"/>
    <col min="8200" max="8200" width="6.54296875" style="125" customWidth="1"/>
    <col min="8201" max="8201" width="6.81640625" style="125" customWidth="1"/>
    <col min="8202" max="8202" width="6.54296875" style="125" customWidth="1"/>
    <col min="8203" max="8203" width="7.36328125" style="125" customWidth="1"/>
    <col min="8204" max="8204" width="10.6328125" style="125" customWidth="1"/>
    <col min="8205" max="8205" width="12" style="125" customWidth="1"/>
    <col min="8206" max="8206" width="18.6328125" style="125" customWidth="1"/>
    <col min="8207" max="8448" width="9.1796875" style="125"/>
    <col min="8449" max="8449" width="6.08984375" style="125" customWidth="1"/>
    <col min="8450" max="8450" width="5.81640625" style="125" customWidth="1"/>
    <col min="8451" max="8451" width="7.08984375" style="125" customWidth="1"/>
    <col min="8452" max="8452" width="6.08984375" style="125" customWidth="1"/>
    <col min="8453" max="8453" width="7.453125" style="125" customWidth="1"/>
    <col min="8454" max="8454" width="6.6328125" style="125" customWidth="1"/>
    <col min="8455" max="8455" width="7.1796875" style="125" customWidth="1"/>
    <col min="8456" max="8456" width="6.54296875" style="125" customWidth="1"/>
    <col min="8457" max="8457" width="6.81640625" style="125" customWidth="1"/>
    <col min="8458" max="8458" width="6.54296875" style="125" customWidth="1"/>
    <col min="8459" max="8459" width="7.36328125" style="125" customWidth="1"/>
    <col min="8460" max="8460" width="10.6328125" style="125" customWidth="1"/>
    <col min="8461" max="8461" width="12" style="125" customWidth="1"/>
    <col min="8462" max="8462" width="18.6328125" style="125" customWidth="1"/>
    <col min="8463" max="8704" width="9.1796875" style="125"/>
    <col min="8705" max="8705" width="6.08984375" style="125" customWidth="1"/>
    <col min="8706" max="8706" width="5.81640625" style="125" customWidth="1"/>
    <col min="8707" max="8707" width="7.08984375" style="125" customWidth="1"/>
    <col min="8708" max="8708" width="6.08984375" style="125" customWidth="1"/>
    <col min="8709" max="8709" width="7.453125" style="125" customWidth="1"/>
    <col min="8710" max="8710" width="6.6328125" style="125" customWidth="1"/>
    <col min="8711" max="8711" width="7.1796875" style="125" customWidth="1"/>
    <col min="8712" max="8712" width="6.54296875" style="125" customWidth="1"/>
    <col min="8713" max="8713" width="6.81640625" style="125" customWidth="1"/>
    <col min="8714" max="8714" width="6.54296875" style="125" customWidth="1"/>
    <col min="8715" max="8715" width="7.36328125" style="125" customWidth="1"/>
    <col min="8716" max="8716" width="10.6328125" style="125" customWidth="1"/>
    <col min="8717" max="8717" width="12" style="125" customWidth="1"/>
    <col min="8718" max="8718" width="18.6328125" style="125" customWidth="1"/>
    <col min="8719" max="8960" width="9.1796875" style="125"/>
    <col min="8961" max="8961" width="6.08984375" style="125" customWidth="1"/>
    <col min="8962" max="8962" width="5.81640625" style="125" customWidth="1"/>
    <col min="8963" max="8963" width="7.08984375" style="125" customWidth="1"/>
    <col min="8964" max="8964" width="6.08984375" style="125" customWidth="1"/>
    <col min="8965" max="8965" width="7.453125" style="125" customWidth="1"/>
    <col min="8966" max="8966" width="6.6328125" style="125" customWidth="1"/>
    <col min="8967" max="8967" width="7.1796875" style="125" customWidth="1"/>
    <col min="8968" max="8968" width="6.54296875" style="125" customWidth="1"/>
    <col min="8969" max="8969" width="6.81640625" style="125" customWidth="1"/>
    <col min="8970" max="8970" width="6.54296875" style="125" customWidth="1"/>
    <col min="8971" max="8971" width="7.36328125" style="125" customWidth="1"/>
    <col min="8972" max="8972" width="10.6328125" style="125" customWidth="1"/>
    <col min="8973" max="8973" width="12" style="125" customWidth="1"/>
    <col min="8974" max="8974" width="18.6328125" style="125" customWidth="1"/>
    <col min="8975" max="9216" width="9.1796875" style="125"/>
    <col min="9217" max="9217" width="6.08984375" style="125" customWidth="1"/>
    <col min="9218" max="9218" width="5.81640625" style="125" customWidth="1"/>
    <col min="9219" max="9219" width="7.08984375" style="125" customWidth="1"/>
    <col min="9220" max="9220" width="6.08984375" style="125" customWidth="1"/>
    <col min="9221" max="9221" width="7.453125" style="125" customWidth="1"/>
    <col min="9222" max="9222" width="6.6328125" style="125" customWidth="1"/>
    <col min="9223" max="9223" width="7.1796875" style="125" customWidth="1"/>
    <col min="9224" max="9224" width="6.54296875" style="125" customWidth="1"/>
    <col min="9225" max="9225" width="6.81640625" style="125" customWidth="1"/>
    <col min="9226" max="9226" width="6.54296875" style="125" customWidth="1"/>
    <col min="9227" max="9227" width="7.36328125" style="125" customWidth="1"/>
    <col min="9228" max="9228" width="10.6328125" style="125" customWidth="1"/>
    <col min="9229" max="9229" width="12" style="125" customWidth="1"/>
    <col min="9230" max="9230" width="18.6328125" style="125" customWidth="1"/>
    <col min="9231" max="9472" width="9.1796875" style="125"/>
    <col min="9473" max="9473" width="6.08984375" style="125" customWidth="1"/>
    <col min="9474" max="9474" width="5.81640625" style="125" customWidth="1"/>
    <col min="9475" max="9475" width="7.08984375" style="125" customWidth="1"/>
    <col min="9476" max="9476" width="6.08984375" style="125" customWidth="1"/>
    <col min="9477" max="9477" width="7.453125" style="125" customWidth="1"/>
    <col min="9478" max="9478" width="6.6328125" style="125" customWidth="1"/>
    <col min="9479" max="9479" width="7.1796875" style="125" customWidth="1"/>
    <col min="9480" max="9480" width="6.54296875" style="125" customWidth="1"/>
    <col min="9481" max="9481" width="6.81640625" style="125" customWidth="1"/>
    <col min="9482" max="9482" width="6.54296875" style="125" customWidth="1"/>
    <col min="9483" max="9483" width="7.36328125" style="125" customWidth="1"/>
    <col min="9484" max="9484" width="10.6328125" style="125" customWidth="1"/>
    <col min="9485" max="9485" width="12" style="125" customWidth="1"/>
    <col min="9486" max="9486" width="18.6328125" style="125" customWidth="1"/>
    <col min="9487" max="9728" width="9.1796875" style="125"/>
    <col min="9729" max="9729" width="6.08984375" style="125" customWidth="1"/>
    <col min="9730" max="9730" width="5.81640625" style="125" customWidth="1"/>
    <col min="9731" max="9731" width="7.08984375" style="125" customWidth="1"/>
    <col min="9732" max="9732" width="6.08984375" style="125" customWidth="1"/>
    <col min="9733" max="9733" width="7.453125" style="125" customWidth="1"/>
    <col min="9734" max="9734" width="6.6328125" style="125" customWidth="1"/>
    <col min="9735" max="9735" width="7.1796875" style="125" customWidth="1"/>
    <col min="9736" max="9736" width="6.54296875" style="125" customWidth="1"/>
    <col min="9737" max="9737" width="6.81640625" style="125" customWidth="1"/>
    <col min="9738" max="9738" width="6.54296875" style="125" customWidth="1"/>
    <col min="9739" max="9739" width="7.36328125" style="125" customWidth="1"/>
    <col min="9740" max="9740" width="10.6328125" style="125" customWidth="1"/>
    <col min="9741" max="9741" width="12" style="125" customWidth="1"/>
    <col min="9742" max="9742" width="18.6328125" style="125" customWidth="1"/>
    <col min="9743" max="9984" width="9.1796875" style="125"/>
    <col min="9985" max="9985" width="6.08984375" style="125" customWidth="1"/>
    <col min="9986" max="9986" width="5.81640625" style="125" customWidth="1"/>
    <col min="9987" max="9987" width="7.08984375" style="125" customWidth="1"/>
    <col min="9988" max="9988" width="6.08984375" style="125" customWidth="1"/>
    <col min="9989" max="9989" width="7.453125" style="125" customWidth="1"/>
    <col min="9990" max="9990" width="6.6328125" style="125" customWidth="1"/>
    <col min="9991" max="9991" width="7.1796875" style="125" customWidth="1"/>
    <col min="9992" max="9992" width="6.54296875" style="125" customWidth="1"/>
    <col min="9993" max="9993" width="6.81640625" style="125" customWidth="1"/>
    <col min="9994" max="9994" width="6.54296875" style="125" customWidth="1"/>
    <col min="9995" max="9995" width="7.36328125" style="125" customWidth="1"/>
    <col min="9996" max="9996" width="10.6328125" style="125" customWidth="1"/>
    <col min="9997" max="9997" width="12" style="125" customWidth="1"/>
    <col min="9998" max="9998" width="18.6328125" style="125" customWidth="1"/>
    <col min="9999" max="10240" width="9.1796875" style="125"/>
    <col min="10241" max="10241" width="6.08984375" style="125" customWidth="1"/>
    <col min="10242" max="10242" width="5.81640625" style="125" customWidth="1"/>
    <col min="10243" max="10243" width="7.08984375" style="125" customWidth="1"/>
    <col min="10244" max="10244" width="6.08984375" style="125" customWidth="1"/>
    <col min="10245" max="10245" width="7.453125" style="125" customWidth="1"/>
    <col min="10246" max="10246" width="6.6328125" style="125" customWidth="1"/>
    <col min="10247" max="10247" width="7.1796875" style="125" customWidth="1"/>
    <col min="10248" max="10248" width="6.54296875" style="125" customWidth="1"/>
    <col min="10249" max="10249" width="6.81640625" style="125" customWidth="1"/>
    <col min="10250" max="10250" width="6.54296875" style="125" customWidth="1"/>
    <col min="10251" max="10251" width="7.36328125" style="125" customWidth="1"/>
    <col min="10252" max="10252" width="10.6328125" style="125" customWidth="1"/>
    <col min="10253" max="10253" width="12" style="125" customWidth="1"/>
    <col min="10254" max="10254" width="18.6328125" style="125" customWidth="1"/>
    <col min="10255" max="10496" width="9.1796875" style="125"/>
    <col min="10497" max="10497" width="6.08984375" style="125" customWidth="1"/>
    <col min="10498" max="10498" width="5.81640625" style="125" customWidth="1"/>
    <col min="10499" max="10499" width="7.08984375" style="125" customWidth="1"/>
    <col min="10500" max="10500" width="6.08984375" style="125" customWidth="1"/>
    <col min="10501" max="10501" width="7.453125" style="125" customWidth="1"/>
    <col min="10502" max="10502" width="6.6328125" style="125" customWidth="1"/>
    <col min="10503" max="10503" width="7.1796875" style="125" customWidth="1"/>
    <col min="10504" max="10504" width="6.54296875" style="125" customWidth="1"/>
    <col min="10505" max="10505" width="6.81640625" style="125" customWidth="1"/>
    <col min="10506" max="10506" width="6.54296875" style="125" customWidth="1"/>
    <col min="10507" max="10507" width="7.36328125" style="125" customWidth="1"/>
    <col min="10508" max="10508" width="10.6328125" style="125" customWidth="1"/>
    <col min="10509" max="10509" width="12" style="125" customWidth="1"/>
    <col min="10510" max="10510" width="18.6328125" style="125" customWidth="1"/>
    <col min="10511" max="10752" width="9.1796875" style="125"/>
    <col min="10753" max="10753" width="6.08984375" style="125" customWidth="1"/>
    <col min="10754" max="10754" width="5.81640625" style="125" customWidth="1"/>
    <col min="10755" max="10755" width="7.08984375" style="125" customWidth="1"/>
    <col min="10756" max="10756" width="6.08984375" style="125" customWidth="1"/>
    <col min="10757" max="10757" width="7.453125" style="125" customWidth="1"/>
    <col min="10758" max="10758" width="6.6328125" style="125" customWidth="1"/>
    <col min="10759" max="10759" width="7.1796875" style="125" customWidth="1"/>
    <col min="10760" max="10760" width="6.54296875" style="125" customWidth="1"/>
    <col min="10761" max="10761" width="6.81640625" style="125" customWidth="1"/>
    <col min="10762" max="10762" width="6.54296875" style="125" customWidth="1"/>
    <col min="10763" max="10763" width="7.36328125" style="125" customWidth="1"/>
    <col min="10764" max="10764" width="10.6328125" style="125" customWidth="1"/>
    <col min="10765" max="10765" width="12" style="125" customWidth="1"/>
    <col min="10766" max="10766" width="18.6328125" style="125" customWidth="1"/>
    <col min="10767" max="11008" width="9.1796875" style="125"/>
    <col min="11009" max="11009" width="6.08984375" style="125" customWidth="1"/>
    <col min="11010" max="11010" width="5.81640625" style="125" customWidth="1"/>
    <col min="11011" max="11011" width="7.08984375" style="125" customWidth="1"/>
    <col min="11012" max="11012" width="6.08984375" style="125" customWidth="1"/>
    <col min="11013" max="11013" width="7.453125" style="125" customWidth="1"/>
    <col min="11014" max="11014" width="6.6328125" style="125" customWidth="1"/>
    <col min="11015" max="11015" width="7.1796875" style="125" customWidth="1"/>
    <col min="11016" max="11016" width="6.54296875" style="125" customWidth="1"/>
    <col min="11017" max="11017" width="6.81640625" style="125" customWidth="1"/>
    <col min="11018" max="11018" width="6.54296875" style="125" customWidth="1"/>
    <col min="11019" max="11019" width="7.36328125" style="125" customWidth="1"/>
    <col min="11020" max="11020" width="10.6328125" style="125" customWidth="1"/>
    <col min="11021" max="11021" width="12" style="125" customWidth="1"/>
    <col min="11022" max="11022" width="18.6328125" style="125" customWidth="1"/>
    <col min="11023" max="11264" width="9.1796875" style="125"/>
    <col min="11265" max="11265" width="6.08984375" style="125" customWidth="1"/>
    <col min="11266" max="11266" width="5.81640625" style="125" customWidth="1"/>
    <col min="11267" max="11267" width="7.08984375" style="125" customWidth="1"/>
    <col min="11268" max="11268" width="6.08984375" style="125" customWidth="1"/>
    <col min="11269" max="11269" width="7.453125" style="125" customWidth="1"/>
    <col min="11270" max="11270" width="6.6328125" style="125" customWidth="1"/>
    <col min="11271" max="11271" width="7.1796875" style="125" customWidth="1"/>
    <col min="11272" max="11272" width="6.54296875" style="125" customWidth="1"/>
    <col min="11273" max="11273" width="6.81640625" style="125" customWidth="1"/>
    <col min="11274" max="11274" width="6.54296875" style="125" customWidth="1"/>
    <col min="11275" max="11275" width="7.36328125" style="125" customWidth="1"/>
    <col min="11276" max="11276" width="10.6328125" style="125" customWidth="1"/>
    <col min="11277" max="11277" width="12" style="125" customWidth="1"/>
    <col min="11278" max="11278" width="18.6328125" style="125" customWidth="1"/>
    <col min="11279" max="11520" width="9.1796875" style="125"/>
    <col min="11521" max="11521" width="6.08984375" style="125" customWidth="1"/>
    <col min="11522" max="11522" width="5.81640625" style="125" customWidth="1"/>
    <col min="11523" max="11523" width="7.08984375" style="125" customWidth="1"/>
    <col min="11524" max="11524" width="6.08984375" style="125" customWidth="1"/>
    <col min="11525" max="11525" width="7.453125" style="125" customWidth="1"/>
    <col min="11526" max="11526" width="6.6328125" style="125" customWidth="1"/>
    <col min="11527" max="11527" width="7.1796875" style="125" customWidth="1"/>
    <col min="11528" max="11528" width="6.54296875" style="125" customWidth="1"/>
    <col min="11529" max="11529" width="6.81640625" style="125" customWidth="1"/>
    <col min="11530" max="11530" width="6.54296875" style="125" customWidth="1"/>
    <col min="11531" max="11531" width="7.36328125" style="125" customWidth="1"/>
    <col min="11532" max="11532" width="10.6328125" style="125" customWidth="1"/>
    <col min="11533" max="11533" width="12" style="125" customWidth="1"/>
    <col min="11534" max="11534" width="18.6328125" style="125" customWidth="1"/>
    <col min="11535" max="11776" width="9.1796875" style="125"/>
    <col min="11777" max="11777" width="6.08984375" style="125" customWidth="1"/>
    <col min="11778" max="11778" width="5.81640625" style="125" customWidth="1"/>
    <col min="11779" max="11779" width="7.08984375" style="125" customWidth="1"/>
    <col min="11780" max="11780" width="6.08984375" style="125" customWidth="1"/>
    <col min="11781" max="11781" width="7.453125" style="125" customWidth="1"/>
    <col min="11782" max="11782" width="6.6328125" style="125" customWidth="1"/>
    <col min="11783" max="11783" width="7.1796875" style="125" customWidth="1"/>
    <col min="11784" max="11784" width="6.54296875" style="125" customWidth="1"/>
    <col min="11785" max="11785" width="6.81640625" style="125" customWidth="1"/>
    <col min="11786" max="11786" width="6.54296875" style="125" customWidth="1"/>
    <col min="11787" max="11787" width="7.36328125" style="125" customWidth="1"/>
    <col min="11788" max="11788" width="10.6328125" style="125" customWidth="1"/>
    <col min="11789" max="11789" width="12" style="125" customWidth="1"/>
    <col min="11790" max="11790" width="18.6328125" style="125" customWidth="1"/>
    <col min="11791" max="12032" width="9.1796875" style="125"/>
    <col min="12033" max="12033" width="6.08984375" style="125" customWidth="1"/>
    <col min="12034" max="12034" width="5.81640625" style="125" customWidth="1"/>
    <col min="12035" max="12035" width="7.08984375" style="125" customWidth="1"/>
    <col min="12036" max="12036" width="6.08984375" style="125" customWidth="1"/>
    <col min="12037" max="12037" width="7.453125" style="125" customWidth="1"/>
    <col min="12038" max="12038" width="6.6328125" style="125" customWidth="1"/>
    <col min="12039" max="12039" width="7.1796875" style="125" customWidth="1"/>
    <col min="12040" max="12040" width="6.54296875" style="125" customWidth="1"/>
    <col min="12041" max="12041" width="6.81640625" style="125" customWidth="1"/>
    <col min="12042" max="12042" width="6.54296875" style="125" customWidth="1"/>
    <col min="12043" max="12043" width="7.36328125" style="125" customWidth="1"/>
    <col min="12044" max="12044" width="10.6328125" style="125" customWidth="1"/>
    <col min="12045" max="12045" width="12" style="125" customWidth="1"/>
    <col min="12046" max="12046" width="18.6328125" style="125" customWidth="1"/>
    <col min="12047" max="12288" width="9.1796875" style="125"/>
    <col min="12289" max="12289" width="6.08984375" style="125" customWidth="1"/>
    <col min="12290" max="12290" width="5.81640625" style="125" customWidth="1"/>
    <col min="12291" max="12291" width="7.08984375" style="125" customWidth="1"/>
    <col min="12292" max="12292" width="6.08984375" style="125" customWidth="1"/>
    <col min="12293" max="12293" width="7.453125" style="125" customWidth="1"/>
    <col min="12294" max="12294" width="6.6328125" style="125" customWidth="1"/>
    <col min="12295" max="12295" width="7.1796875" style="125" customWidth="1"/>
    <col min="12296" max="12296" width="6.54296875" style="125" customWidth="1"/>
    <col min="12297" max="12297" width="6.81640625" style="125" customWidth="1"/>
    <col min="12298" max="12298" width="6.54296875" style="125" customWidth="1"/>
    <col min="12299" max="12299" width="7.36328125" style="125" customWidth="1"/>
    <col min="12300" max="12300" width="10.6328125" style="125" customWidth="1"/>
    <col min="12301" max="12301" width="12" style="125" customWidth="1"/>
    <col min="12302" max="12302" width="18.6328125" style="125" customWidth="1"/>
    <col min="12303" max="12544" width="9.1796875" style="125"/>
    <col min="12545" max="12545" width="6.08984375" style="125" customWidth="1"/>
    <col min="12546" max="12546" width="5.81640625" style="125" customWidth="1"/>
    <col min="12547" max="12547" width="7.08984375" style="125" customWidth="1"/>
    <col min="12548" max="12548" width="6.08984375" style="125" customWidth="1"/>
    <col min="12549" max="12549" width="7.453125" style="125" customWidth="1"/>
    <col min="12550" max="12550" width="6.6328125" style="125" customWidth="1"/>
    <col min="12551" max="12551" width="7.1796875" style="125" customWidth="1"/>
    <col min="12552" max="12552" width="6.54296875" style="125" customWidth="1"/>
    <col min="12553" max="12553" width="6.81640625" style="125" customWidth="1"/>
    <col min="12554" max="12554" width="6.54296875" style="125" customWidth="1"/>
    <col min="12555" max="12555" width="7.36328125" style="125" customWidth="1"/>
    <col min="12556" max="12556" width="10.6328125" style="125" customWidth="1"/>
    <col min="12557" max="12557" width="12" style="125" customWidth="1"/>
    <col min="12558" max="12558" width="18.6328125" style="125" customWidth="1"/>
    <col min="12559" max="12800" width="9.1796875" style="125"/>
    <col min="12801" max="12801" width="6.08984375" style="125" customWidth="1"/>
    <col min="12802" max="12802" width="5.81640625" style="125" customWidth="1"/>
    <col min="12803" max="12803" width="7.08984375" style="125" customWidth="1"/>
    <col min="12804" max="12804" width="6.08984375" style="125" customWidth="1"/>
    <col min="12805" max="12805" width="7.453125" style="125" customWidth="1"/>
    <col min="12806" max="12806" width="6.6328125" style="125" customWidth="1"/>
    <col min="12807" max="12807" width="7.1796875" style="125" customWidth="1"/>
    <col min="12808" max="12808" width="6.54296875" style="125" customWidth="1"/>
    <col min="12809" max="12809" width="6.81640625" style="125" customWidth="1"/>
    <col min="12810" max="12810" width="6.54296875" style="125" customWidth="1"/>
    <col min="12811" max="12811" width="7.36328125" style="125" customWidth="1"/>
    <col min="12812" max="12812" width="10.6328125" style="125" customWidth="1"/>
    <col min="12813" max="12813" width="12" style="125" customWidth="1"/>
    <col min="12814" max="12814" width="18.6328125" style="125" customWidth="1"/>
    <col min="12815" max="13056" width="9.1796875" style="125"/>
    <col min="13057" max="13057" width="6.08984375" style="125" customWidth="1"/>
    <col min="13058" max="13058" width="5.81640625" style="125" customWidth="1"/>
    <col min="13059" max="13059" width="7.08984375" style="125" customWidth="1"/>
    <col min="13060" max="13060" width="6.08984375" style="125" customWidth="1"/>
    <col min="13061" max="13061" width="7.453125" style="125" customWidth="1"/>
    <col min="13062" max="13062" width="6.6328125" style="125" customWidth="1"/>
    <col min="13063" max="13063" width="7.1796875" style="125" customWidth="1"/>
    <col min="13064" max="13064" width="6.54296875" style="125" customWidth="1"/>
    <col min="13065" max="13065" width="6.81640625" style="125" customWidth="1"/>
    <col min="13066" max="13066" width="6.54296875" style="125" customWidth="1"/>
    <col min="13067" max="13067" width="7.36328125" style="125" customWidth="1"/>
    <col min="13068" max="13068" width="10.6328125" style="125" customWidth="1"/>
    <col min="13069" max="13069" width="12" style="125" customWidth="1"/>
    <col min="13070" max="13070" width="18.6328125" style="125" customWidth="1"/>
    <col min="13071" max="13312" width="9.1796875" style="125"/>
    <col min="13313" max="13313" width="6.08984375" style="125" customWidth="1"/>
    <col min="13314" max="13314" width="5.81640625" style="125" customWidth="1"/>
    <col min="13315" max="13315" width="7.08984375" style="125" customWidth="1"/>
    <col min="13316" max="13316" width="6.08984375" style="125" customWidth="1"/>
    <col min="13317" max="13317" width="7.453125" style="125" customWidth="1"/>
    <col min="13318" max="13318" width="6.6328125" style="125" customWidth="1"/>
    <col min="13319" max="13319" width="7.1796875" style="125" customWidth="1"/>
    <col min="13320" max="13320" width="6.54296875" style="125" customWidth="1"/>
    <col min="13321" max="13321" width="6.81640625" style="125" customWidth="1"/>
    <col min="13322" max="13322" width="6.54296875" style="125" customWidth="1"/>
    <col min="13323" max="13323" width="7.36328125" style="125" customWidth="1"/>
    <col min="13324" max="13324" width="10.6328125" style="125" customWidth="1"/>
    <col min="13325" max="13325" width="12" style="125" customWidth="1"/>
    <col min="13326" max="13326" width="18.6328125" style="125" customWidth="1"/>
    <col min="13327" max="13568" width="9.1796875" style="125"/>
    <col min="13569" max="13569" width="6.08984375" style="125" customWidth="1"/>
    <col min="13570" max="13570" width="5.81640625" style="125" customWidth="1"/>
    <col min="13571" max="13571" width="7.08984375" style="125" customWidth="1"/>
    <col min="13572" max="13572" width="6.08984375" style="125" customWidth="1"/>
    <col min="13573" max="13573" width="7.453125" style="125" customWidth="1"/>
    <col min="13574" max="13574" width="6.6328125" style="125" customWidth="1"/>
    <col min="13575" max="13575" width="7.1796875" style="125" customWidth="1"/>
    <col min="13576" max="13576" width="6.54296875" style="125" customWidth="1"/>
    <col min="13577" max="13577" width="6.81640625" style="125" customWidth="1"/>
    <col min="13578" max="13578" width="6.54296875" style="125" customWidth="1"/>
    <col min="13579" max="13579" width="7.36328125" style="125" customWidth="1"/>
    <col min="13580" max="13580" width="10.6328125" style="125" customWidth="1"/>
    <col min="13581" max="13581" width="12" style="125" customWidth="1"/>
    <col min="13582" max="13582" width="18.6328125" style="125" customWidth="1"/>
    <col min="13583" max="13824" width="9.1796875" style="125"/>
    <col min="13825" max="13825" width="6.08984375" style="125" customWidth="1"/>
    <col min="13826" max="13826" width="5.81640625" style="125" customWidth="1"/>
    <col min="13827" max="13827" width="7.08984375" style="125" customWidth="1"/>
    <col min="13828" max="13828" width="6.08984375" style="125" customWidth="1"/>
    <col min="13829" max="13829" width="7.453125" style="125" customWidth="1"/>
    <col min="13830" max="13830" width="6.6328125" style="125" customWidth="1"/>
    <col min="13831" max="13831" width="7.1796875" style="125" customWidth="1"/>
    <col min="13832" max="13832" width="6.54296875" style="125" customWidth="1"/>
    <col min="13833" max="13833" width="6.81640625" style="125" customWidth="1"/>
    <col min="13834" max="13834" width="6.54296875" style="125" customWidth="1"/>
    <col min="13835" max="13835" width="7.36328125" style="125" customWidth="1"/>
    <col min="13836" max="13836" width="10.6328125" style="125" customWidth="1"/>
    <col min="13837" max="13837" width="12" style="125" customWidth="1"/>
    <col min="13838" max="13838" width="18.6328125" style="125" customWidth="1"/>
    <col min="13839" max="14080" width="9.1796875" style="125"/>
    <col min="14081" max="14081" width="6.08984375" style="125" customWidth="1"/>
    <col min="14082" max="14082" width="5.81640625" style="125" customWidth="1"/>
    <col min="14083" max="14083" width="7.08984375" style="125" customWidth="1"/>
    <col min="14084" max="14084" width="6.08984375" style="125" customWidth="1"/>
    <col min="14085" max="14085" width="7.453125" style="125" customWidth="1"/>
    <col min="14086" max="14086" width="6.6328125" style="125" customWidth="1"/>
    <col min="14087" max="14087" width="7.1796875" style="125" customWidth="1"/>
    <col min="14088" max="14088" width="6.54296875" style="125" customWidth="1"/>
    <col min="14089" max="14089" width="6.81640625" style="125" customWidth="1"/>
    <col min="14090" max="14090" width="6.54296875" style="125" customWidth="1"/>
    <col min="14091" max="14091" width="7.36328125" style="125" customWidth="1"/>
    <col min="14092" max="14092" width="10.6328125" style="125" customWidth="1"/>
    <col min="14093" max="14093" width="12" style="125" customWidth="1"/>
    <col min="14094" max="14094" width="18.6328125" style="125" customWidth="1"/>
    <col min="14095" max="14336" width="9.1796875" style="125"/>
    <col min="14337" max="14337" width="6.08984375" style="125" customWidth="1"/>
    <col min="14338" max="14338" width="5.81640625" style="125" customWidth="1"/>
    <col min="14339" max="14339" width="7.08984375" style="125" customWidth="1"/>
    <col min="14340" max="14340" width="6.08984375" style="125" customWidth="1"/>
    <col min="14341" max="14341" width="7.453125" style="125" customWidth="1"/>
    <col min="14342" max="14342" width="6.6328125" style="125" customWidth="1"/>
    <col min="14343" max="14343" width="7.1796875" style="125" customWidth="1"/>
    <col min="14344" max="14344" width="6.54296875" style="125" customWidth="1"/>
    <col min="14345" max="14345" width="6.81640625" style="125" customWidth="1"/>
    <col min="14346" max="14346" width="6.54296875" style="125" customWidth="1"/>
    <col min="14347" max="14347" width="7.36328125" style="125" customWidth="1"/>
    <col min="14348" max="14348" width="10.6328125" style="125" customWidth="1"/>
    <col min="14349" max="14349" width="12" style="125" customWidth="1"/>
    <col min="14350" max="14350" width="18.6328125" style="125" customWidth="1"/>
    <col min="14351" max="14592" width="9.1796875" style="125"/>
    <col min="14593" max="14593" width="6.08984375" style="125" customWidth="1"/>
    <col min="14594" max="14594" width="5.81640625" style="125" customWidth="1"/>
    <col min="14595" max="14595" width="7.08984375" style="125" customWidth="1"/>
    <col min="14596" max="14596" width="6.08984375" style="125" customWidth="1"/>
    <col min="14597" max="14597" width="7.453125" style="125" customWidth="1"/>
    <col min="14598" max="14598" width="6.6328125" style="125" customWidth="1"/>
    <col min="14599" max="14599" width="7.1796875" style="125" customWidth="1"/>
    <col min="14600" max="14600" width="6.54296875" style="125" customWidth="1"/>
    <col min="14601" max="14601" width="6.81640625" style="125" customWidth="1"/>
    <col min="14602" max="14602" width="6.54296875" style="125" customWidth="1"/>
    <col min="14603" max="14603" width="7.36328125" style="125" customWidth="1"/>
    <col min="14604" max="14604" width="10.6328125" style="125" customWidth="1"/>
    <col min="14605" max="14605" width="12" style="125" customWidth="1"/>
    <col min="14606" max="14606" width="18.6328125" style="125" customWidth="1"/>
    <col min="14607" max="14848" width="9.1796875" style="125"/>
    <col min="14849" max="14849" width="6.08984375" style="125" customWidth="1"/>
    <col min="14850" max="14850" width="5.81640625" style="125" customWidth="1"/>
    <col min="14851" max="14851" width="7.08984375" style="125" customWidth="1"/>
    <col min="14852" max="14852" width="6.08984375" style="125" customWidth="1"/>
    <col min="14853" max="14853" width="7.453125" style="125" customWidth="1"/>
    <col min="14854" max="14854" width="6.6328125" style="125" customWidth="1"/>
    <col min="14855" max="14855" width="7.1796875" style="125" customWidth="1"/>
    <col min="14856" max="14856" width="6.54296875" style="125" customWidth="1"/>
    <col min="14857" max="14857" width="6.81640625" style="125" customWidth="1"/>
    <col min="14858" max="14858" width="6.54296875" style="125" customWidth="1"/>
    <col min="14859" max="14859" width="7.36328125" style="125" customWidth="1"/>
    <col min="14860" max="14860" width="10.6328125" style="125" customWidth="1"/>
    <col min="14861" max="14861" width="12" style="125" customWidth="1"/>
    <col min="14862" max="14862" width="18.6328125" style="125" customWidth="1"/>
    <col min="14863" max="15104" width="9.1796875" style="125"/>
    <col min="15105" max="15105" width="6.08984375" style="125" customWidth="1"/>
    <col min="15106" max="15106" width="5.81640625" style="125" customWidth="1"/>
    <col min="15107" max="15107" width="7.08984375" style="125" customWidth="1"/>
    <col min="15108" max="15108" width="6.08984375" style="125" customWidth="1"/>
    <col min="15109" max="15109" width="7.453125" style="125" customWidth="1"/>
    <col min="15110" max="15110" width="6.6328125" style="125" customWidth="1"/>
    <col min="15111" max="15111" width="7.1796875" style="125" customWidth="1"/>
    <col min="15112" max="15112" width="6.54296875" style="125" customWidth="1"/>
    <col min="15113" max="15113" width="6.81640625" style="125" customWidth="1"/>
    <col min="15114" max="15114" width="6.54296875" style="125" customWidth="1"/>
    <col min="15115" max="15115" width="7.36328125" style="125" customWidth="1"/>
    <col min="15116" max="15116" width="10.6328125" style="125" customWidth="1"/>
    <col min="15117" max="15117" width="12" style="125" customWidth="1"/>
    <col min="15118" max="15118" width="18.6328125" style="125" customWidth="1"/>
    <col min="15119" max="15360" width="9.1796875" style="125"/>
    <col min="15361" max="15361" width="6.08984375" style="125" customWidth="1"/>
    <col min="15362" max="15362" width="5.81640625" style="125" customWidth="1"/>
    <col min="15363" max="15363" width="7.08984375" style="125" customWidth="1"/>
    <col min="15364" max="15364" width="6.08984375" style="125" customWidth="1"/>
    <col min="15365" max="15365" width="7.453125" style="125" customWidth="1"/>
    <col min="15366" max="15366" width="6.6328125" style="125" customWidth="1"/>
    <col min="15367" max="15367" width="7.1796875" style="125" customWidth="1"/>
    <col min="15368" max="15368" width="6.54296875" style="125" customWidth="1"/>
    <col min="15369" max="15369" width="6.81640625" style="125" customWidth="1"/>
    <col min="15370" max="15370" width="6.54296875" style="125" customWidth="1"/>
    <col min="15371" max="15371" width="7.36328125" style="125" customWidth="1"/>
    <col min="15372" max="15372" width="10.6328125" style="125" customWidth="1"/>
    <col min="15373" max="15373" width="12" style="125" customWidth="1"/>
    <col min="15374" max="15374" width="18.6328125" style="125" customWidth="1"/>
    <col min="15375" max="15616" width="9.1796875" style="125"/>
    <col min="15617" max="15617" width="6.08984375" style="125" customWidth="1"/>
    <col min="15618" max="15618" width="5.81640625" style="125" customWidth="1"/>
    <col min="15619" max="15619" width="7.08984375" style="125" customWidth="1"/>
    <col min="15620" max="15620" width="6.08984375" style="125" customWidth="1"/>
    <col min="15621" max="15621" width="7.453125" style="125" customWidth="1"/>
    <col min="15622" max="15622" width="6.6328125" style="125" customWidth="1"/>
    <col min="15623" max="15623" width="7.1796875" style="125" customWidth="1"/>
    <col min="15624" max="15624" width="6.54296875" style="125" customWidth="1"/>
    <col min="15625" max="15625" width="6.81640625" style="125" customWidth="1"/>
    <col min="15626" max="15626" width="6.54296875" style="125" customWidth="1"/>
    <col min="15627" max="15627" width="7.36328125" style="125" customWidth="1"/>
    <col min="15628" max="15628" width="10.6328125" style="125" customWidth="1"/>
    <col min="15629" max="15629" width="12" style="125" customWidth="1"/>
    <col min="15630" max="15630" width="18.6328125" style="125" customWidth="1"/>
    <col min="15631" max="15872" width="9.1796875" style="125"/>
    <col min="15873" max="15873" width="6.08984375" style="125" customWidth="1"/>
    <col min="15874" max="15874" width="5.81640625" style="125" customWidth="1"/>
    <col min="15875" max="15875" width="7.08984375" style="125" customWidth="1"/>
    <col min="15876" max="15876" width="6.08984375" style="125" customWidth="1"/>
    <col min="15877" max="15877" width="7.453125" style="125" customWidth="1"/>
    <col min="15878" max="15878" width="6.6328125" style="125" customWidth="1"/>
    <col min="15879" max="15879" width="7.1796875" style="125" customWidth="1"/>
    <col min="15880" max="15880" width="6.54296875" style="125" customWidth="1"/>
    <col min="15881" max="15881" width="6.81640625" style="125" customWidth="1"/>
    <col min="15882" max="15882" width="6.54296875" style="125" customWidth="1"/>
    <col min="15883" max="15883" width="7.36328125" style="125" customWidth="1"/>
    <col min="15884" max="15884" width="10.6328125" style="125" customWidth="1"/>
    <col min="15885" max="15885" width="12" style="125" customWidth="1"/>
    <col min="15886" max="15886" width="18.6328125" style="125" customWidth="1"/>
    <col min="15887" max="16128" width="9.1796875" style="125"/>
    <col min="16129" max="16129" width="6.08984375" style="125" customWidth="1"/>
    <col min="16130" max="16130" width="5.81640625" style="125" customWidth="1"/>
    <col min="16131" max="16131" width="7.08984375" style="125" customWidth="1"/>
    <col min="16132" max="16132" width="6.08984375" style="125" customWidth="1"/>
    <col min="16133" max="16133" width="7.453125" style="125" customWidth="1"/>
    <col min="16134" max="16134" width="6.6328125" style="125" customWidth="1"/>
    <col min="16135" max="16135" width="7.1796875" style="125" customWidth="1"/>
    <col min="16136" max="16136" width="6.54296875" style="125" customWidth="1"/>
    <col min="16137" max="16137" width="6.81640625" style="125" customWidth="1"/>
    <col min="16138" max="16138" width="6.54296875" style="125" customWidth="1"/>
    <col min="16139" max="16139" width="7.36328125" style="125" customWidth="1"/>
    <col min="16140" max="16140" width="10.6328125" style="125" customWidth="1"/>
    <col min="16141" max="16141" width="12" style="125" customWidth="1"/>
    <col min="16142" max="16142" width="18.6328125" style="125" customWidth="1"/>
    <col min="16143" max="16384" width="9.1796875" style="125"/>
  </cols>
  <sheetData>
    <row r="1" spans="1:14" ht="20.25" customHeight="1">
      <c r="A1" s="286"/>
      <c r="B1" s="286"/>
      <c r="C1" s="286"/>
      <c r="D1" s="493" t="s">
        <v>670</v>
      </c>
      <c r="E1" s="493"/>
      <c r="F1" s="493"/>
      <c r="G1" s="493"/>
      <c r="H1" s="493"/>
      <c r="I1" s="493"/>
      <c r="J1" s="493"/>
      <c r="K1" s="493"/>
      <c r="L1" s="493"/>
      <c r="M1" s="493"/>
      <c r="N1" s="227" t="s">
        <v>671</v>
      </c>
    </row>
    <row r="2" spans="1:14" ht="24.9" customHeight="1">
      <c r="A2" s="287"/>
      <c r="B2" s="287"/>
      <c r="C2" s="287"/>
      <c r="D2" s="494"/>
      <c r="E2" s="494"/>
      <c r="F2" s="494"/>
      <c r="G2" s="494"/>
      <c r="H2" s="494"/>
      <c r="I2" s="494"/>
      <c r="J2" s="494"/>
      <c r="K2" s="494"/>
      <c r="L2" s="494"/>
      <c r="M2" s="494"/>
      <c r="N2" s="226" t="s">
        <v>81</v>
      </c>
    </row>
    <row r="3" spans="1:14" ht="24.9" customHeight="1" thickBot="1">
      <c r="A3" s="288"/>
      <c r="B3" s="288"/>
      <c r="C3" s="288"/>
      <c r="D3" s="495"/>
      <c r="E3" s="495"/>
      <c r="F3" s="495"/>
      <c r="G3" s="495"/>
      <c r="H3" s="495"/>
      <c r="I3" s="495"/>
      <c r="J3" s="495"/>
      <c r="K3" s="495"/>
      <c r="L3" s="495"/>
      <c r="M3" s="495"/>
      <c r="N3" s="228" t="s">
        <v>82</v>
      </c>
    </row>
    <row r="4" spans="1:14" s="232" customFormat="1" ht="29.25" customHeight="1">
      <c r="A4" s="230" t="s">
        <v>672</v>
      </c>
      <c r="B4" s="231"/>
      <c r="C4" s="231"/>
      <c r="D4" s="231"/>
      <c r="E4" s="231"/>
      <c r="F4" s="231"/>
      <c r="G4" s="231"/>
      <c r="H4" s="231"/>
      <c r="I4" s="231"/>
      <c r="J4" s="231"/>
      <c r="K4" s="231"/>
      <c r="L4" s="231"/>
      <c r="M4" s="231"/>
      <c r="N4" s="231"/>
    </row>
    <row r="5" spans="1:14" s="234" customFormat="1" ht="39.6" customHeight="1">
      <c r="A5" s="496" t="s">
        <v>673</v>
      </c>
      <c r="B5" s="496" t="s">
        <v>674</v>
      </c>
      <c r="C5" s="496"/>
      <c r="D5" s="496" t="s">
        <v>674</v>
      </c>
      <c r="E5" s="496"/>
      <c r="F5" s="496" t="s">
        <v>674</v>
      </c>
      <c r="G5" s="496"/>
      <c r="H5" s="496" t="s">
        <v>674</v>
      </c>
      <c r="I5" s="496"/>
      <c r="J5" s="496" t="s">
        <v>674</v>
      </c>
      <c r="K5" s="496"/>
      <c r="L5" s="489" t="s">
        <v>675</v>
      </c>
      <c r="M5" s="489" t="s">
        <v>676</v>
      </c>
      <c r="N5" s="489" t="s">
        <v>677</v>
      </c>
    </row>
    <row r="6" spans="1:14" s="234" customFormat="1" ht="52.5" customHeight="1">
      <c r="A6" s="496"/>
      <c r="B6" s="235" t="s">
        <v>678</v>
      </c>
      <c r="C6" s="233" t="s">
        <v>679</v>
      </c>
      <c r="D6" s="235" t="s">
        <v>678</v>
      </c>
      <c r="E6" s="233" t="s">
        <v>679</v>
      </c>
      <c r="F6" s="235" t="s">
        <v>678</v>
      </c>
      <c r="G6" s="233" t="s">
        <v>679</v>
      </c>
      <c r="H6" s="235" t="s">
        <v>678</v>
      </c>
      <c r="I6" s="233" t="s">
        <v>679</v>
      </c>
      <c r="J6" s="235" t="s">
        <v>678</v>
      </c>
      <c r="K6" s="233" t="s">
        <v>679</v>
      </c>
      <c r="L6" s="490"/>
      <c r="M6" s="490"/>
      <c r="N6" s="490"/>
    </row>
    <row r="7" spans="1:14" ht="37.5" customHeight="1">
      <c r="A7" s="236"/>
      <c r="B7" s="236"/>
      <c r="C7" s="236"/>
      <c r="D7" s="236"/>
      <c r="E7" s="236"/>
      <c r="F7" s="236"/>
      <c r="G7" s="236"/>
      <c r="H7" s="236"/>
      <c r="I7" s="236"/>
      <c r="J7" s="236"/>
      <c r="K7" s="236"/>
      <c r="L7" s="236"/>
      <c r="M7" s="236"/>
      <c r="N7" s="236"/>
    </row>
    <row r="8" spans="1:14" ht="37.5" customHeight="1">
      <c r="A8" s="236"/>
      <c r="B8" s="236"/>
      <c r="C8" s="236"/>
      <c r="D8" s="236"/>
      <c r="E8" s="236"/>
      <c r="F8" s="236"/>
      <c r="G8" s="236"/>
      <c r="H8" s="236"/>
      <c r="I8" s="236"/>
      <c r="J8" s="236"/>
      <c r="K8" s="236"/>
      <c r="L8" s="236"/>
      <c r="M8" s="236"/>
      <c r="N8" s="236"/>
    </row>
    <row r="9" spans="1:14" ht="37.5" customHeight="1">
      <c r="A9" s="236"/>
      <c r="B9" s="236"/>
      <c r="C9" s="236"/>
      <c r="D9" s="236"/>
      <c r="E9" s="236"/>
      <c r="F9" s="236"/>
      <c r="G9" s="236"/>
      <c r="H9" s="236"/>
      <c r="I9" s="236"/>
      <c r="J9" s="236"/>
      <c r="K9" s="236"/>
      <c r="L9" s="236"/>
      <c r="M9" s="236"/>
      <c r="N9" s="236"/>
    </row>
    <row r="10" spans="1:14" ht="37.5" customHeight="1">
      <c r="A10" s="236"/>
      <c r="B10" s="236"/>
      <c r="C10" s="236"/>
      <c r="D10" s="236"/>
      <c r="E10" s="236"/>
      <c r="F10" s="236"/>
      <c r="G10" s="236"/>
      <c r="H10" s="236"/>
      <c r="I10" s="236"/>
      <c r="J10" s="236"/>
      <c r="K10" s="236"/>
      <c r="L10" s="236"/>
      <c r="M10" s="236"/>
      <c r="N10" s="236"/>
    </row>
    <row r="11" spans="1:14" ht="37.5" customHeight="1">
      <c r="A11" s="236"/>
      <c r="B11" s="236"/>
      <c r="C11" s="236"/>
      <c r="D11" s="236"/>
      <c r="E11" s="236"/>
      <c r="F11" s="236"/>
      <c r="G11" s="236"/>
      <c r="H11" s="236"/>
      <c r="I11" s="236"/>
      <c r="J11" s="236"/>
      <c r="K11" s="236"/>
      <c r="L11" s="236"/>
      <c r="M11" s="236"/>
      <c r="N11" s="236"/>
    </row>
    <row r="12" spans="1:14" ht="37.5" customHeight="1">
      <c r="A12" s="236"/>
      <c r="B12" s="236"/>
      <c r="C12" s="236"/>
      <c r="D12" s="236"/>
      <c r="E12" s="236"/>
      <c r="F12" s="236"/>
      <c r="G12" s="236"/>
      <c r="H12" s="236"/>
      <c r="I12" s="236"/>
      <c r="J12" s="236"/>
      <c r="K12" s="236"/>
      <c r="L12" s="236"/>
      <c r="M12" s="236"/>
      <c r="N12" s="236"/>
    </row>
    <row r="14" spans="1:14" s="237" customFormat="1" ht="16.5" customHeight="1">
      <c r="A14" s="491" t="s">
        <v>680</v>
      </c>
      <c r="B14" s="491"/>
      <c r="C14" s="491"/>
    </row>
    <row r="15" spans="1:14" s="237" customFormat="1" ht="16.5" customHeight="1">
      <c r="A15" s="492" t="s">
        <v>681</v>
      </c>
      <c r="B15" s="492"/>
      <c r="C15" s="492"/>
    </row>
  </sheetData>
  <mergeCells count="13">
    <mergeCell ref="N5:N6"/>
    <mergeCell ref="A14:C14"/>
    <mergeCell ref="A15:C15"/>
    <mergeCell ref="A1:C3"/>
    <mergeCell ref="D1:M3"/>
    <mergeCell ref="A5:A6"/>
    <mergeCell ref="B5:C5"/>
    <mergeCell ref="D5:E5"/>
    <mergeCell ref="F5:G5"/>
    <mergeCell ref="H5:I5"/>
    <mergeCell ref="J5:K5"/>
    <mergeCell ref="L5:L6"/>
    <mergeCell ref="M5:M6"/>
  </mergeCells>
  <pageMargins left="0.2" right="0.2" top="0.27" bottom="0.26" header="0.2" footer="0.2"/>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A466-F821-4725-8351-72CA2F382E4D}">
  <dimension ref="A1:J22"/>
  <sheetViews>
    <sheetView workbookViewId="0">
      <selection activeCell="G8" sqref="G8:G9"/>
    </sheetView>
  </sheetViews>
  <sheetFormatPr defaultColWidth="7.81640625" defaultRowHeight="13.8"/>
  <cols>
    <col min="1" max="1" width="9.6328125" style="155" customWidth="1"/>
    <col min="2" max="2" width="10.81640625" style="155" customWidth="1"/>
    <col min="3" max="3" width="8.453125" style="155" customWidth="1"/>
    <col min="4" max="4" width="10.08984375" style="155" customWidth="1"/>
    <col min="5" max="5" width="12.6328125" style="155" customWidth="1"/>
    <col min="6" max="6" width="10.6328125" style="155" customWidth="1"/>
    <col min="7" max="7" width="7.08984375" style="155" customWidth="1"/>
    <col min="8" max="8" width="13.36328125" style="155" customWidth="1"/>
    <col min="9" max="9" width="11.6328125" style="155" customWidth="1"/>
    <col min="10" max="10" width="13.90625" style="155" customWidth="1"/>
    <col min="11" max="256" width="7.81640625" style="155"/>
    <col min="257" max="257" width="9.6328125" style="155" customWidth="1"/>
    <col min="258" max="258" width="10.81640625" style="155" customWidth="1"/>
    <col min="259" max="259" width="8.453125" style="155" customWidth="1"/>
    <col min="260" max="260" width="10.08984375" style="155" customWidth="1"/>
    <col min="261" max="261" width="12.6328125" style="155" customWidth="1"/>
    <col min="262" max="262" width="10.6328125" style="155" customWidth="1"/>
    <col min="263" max="263" width="7.08984375" style="155" customWidth="1"/>
    <col min="264" max="264" width="13.36328125" style="155" customWidth="1"/>
    <col min="265" max="265" width="11.6328125" style="155" customWidth="1"/>
    <col min="266" max="266" width="13.90625" style="155" customWidth="1"/>
    <col min="267" max="512" width="7.81640625" style="155"/>
    <col min="513" max="513" width="9.6328125" style="155" customWidth="1"/>
    <col min="514" max="514" width="10.81640625" style="155" customWidth="1"/>
    <col min="515" max="515" width="8.453125" style="155" customWidth="1"/>
    <col min="516" max="516" width="10.08984375" style="155" customWidth="1"/>
    <col min="517" max="517" width="12.6328125" style="155" customWidth="1"/>
    <col min="518" max="518" width="10.6328125" style="155" customWidth="1"/>
    <col min="519" max="519" width="7.08984375" style="155" customWidth="1"/>
    <col min="520" max="520" width="13.36328125" style="155" customWidth="1"/>
    <col min="521" max="521" width="11.6328125" style="155" customWidth="1"/>
    <col min="522" max="522" width="13.90625" style="155" customWidth="1"/>
    <col min="523" max="768" width="7.81640625" style="155"/>
    <col min="769" max="769" width="9.6328125" style="155" customWidth="1"/>
    <col min="770" max="770" width="10.81640625" style="155" customWidth="1"/>
    <col min="771" max="771" width="8.453125" style="155" customWidth="1"/>
    <col min="772" max="772" width="10.08984375" style="155" customWidth="1"/>
    <col min="773" max="773" width="12.6328125" style="155" customWidth="1"/>
    <col min="774" max="774" width="10.6328125" style="155" customWidth="1"/>
    <col min="775" max="775" width="7.08984375" style="155" customWidth="1"/>
    <col min="776" max="776" width="13.36328125" style="155" customWidth="1"/>
    <col min="777" max="777" width="11.6328125" style="155" customWidth="1"/>
    <col min="778" max="778" width="13.90625" style="155" customWidth="1"/>
    <col min="779" max="1024" width="7.81640625" style="155"/>
    <col min="1025" max="1025" width="9.6328125" style="155" customWidth="1"/>
    <col min="1026" max="1026" width="10.81640625" style="155" customWidth="1"/>
    <col min="1027" max="1027" width="8.453125" style="155" customWidth="1"/>
    <col min="1028" max="1028" width="10.08984375" style="155" customWidth="1"/>
    <col min="1029" max="1029" width="12.6328125" style="155" customWidth="1"/>
    <col min="1030" max="1030" width="10.6328125" style="155" customWidth="1"/>
    <col min="1031" max="1031" width="7.08984375" style="155" customWidth="1"/>
    <col min="1032" max="1032" width="13.36328125" style="155" customWidth="1"/>
    <col min="1033" max="1033" width="11.6328125" style="155" customWidth="1"/>
    <col min="1034" max="1034" width="13.90625" style="155" customWidth="1"/>
    <col min="1035" max="1280" width="7.81640625" style="155"/>
    <col min="1281" max="1281" width="9.6328125" style="155" customWidth="1"/>
    <col min="1282" max="1282" width="10.81640625" style="155" customWidth="1"/>
    <col min="1283" max="1283" width="8.453125" style="155" customWidth="1"/>
    <col min="1284" max="1284" width="10.08984375" style="155" customWidth="1"/>
    <col min="1285" max="1285" width="12.6328125" style="155" customWidth="1"/>
    <col min="1286" max="1286" width="10.6328125" style="155" customWidth="1"/>
    <col min="1287" max="1287" width="7.08984375" style="155" customWidth="1"/>
    <col min="1288" max="1288" width="13.36328125" style="155" customWidth="1"/>
    <col min="1289" max="1289" width="11.6328125" style="155" customWidth="1"/>
    <col min="1290" max="1290" width="13.90625" style="155" customWidth="1"/>
    <col min="1291" max="1536" width="7.81640625" style="155"/>
    <col min="1537" max="1537" width="9.6328125" style="155" customWidth="1"/>
    <col min="1538" max="1538" width="10.81640625" style="155" customWidth="1"/>
    <col min="1539" max="1539" width="8.453125" style="155" customWidth="1"/>
    <col min="1540" max="1540" width="10.08984375" style="155" customWidth="1"/>
    <col min="1541" max="1541" width="12.6328125" style="155" customWidth="1"/>
    <col min="1542" max="1542" width="10.6328125" style="155" customWidth="1"/>
    <col min="1543" max="1543" width="7.08984375" style="155" customWidth="1"/>
    <col min="1544" max="1544" width="13.36328125" style="155" customWidth="1"/>
    <col min="1545" max="1545" width="11.6328125" style="155" customWidth="1"/>
    <col min="1546" max="1546" width="13.90625" style="155" customWidth="1"/>
    <col min="1547" max="1792" width="7.81640625" style="155"/>
    <col min="1793" max="1793" width="9.6328125" style="155" customWidth="1"/>
    <col min="1794" max="1794" width="10.81640625" style="155" customWidth="1"/>
    <col min="1795" max="1795" width="8.453125" style="155" customWidth="1"/>
    <col min="1796" max="1796" width="10.08984375" style="155" customWidth="1"/>
    <col min="1797" max="1797" width="12.6328125" style="155" customWidth="1"/>
    <col min="1798" max="1798" width="10.6328125" style="155" customWidth="1"/>
    <col min="1799" max="1799" width="7.08984375" style="155" customWidth="1"/>
    <col min="1800" max="1800" width="13.36328125" style="155" customWidth="1"/>
    <col min="1801" max="1801" width="11.6328125" style="155" customWidth="1"/>
    <col min="1802" max="1802" width="13.90625" style="155" customWidth="1"/>
    <col min="1803" max="2048" width="7.81640625" style="155"/>
    <col min="2049" max="2049" width="9.6328125" style="155" customWidth="1"/>
    <col min="2050" max="2050" width="10.81640625" style="155" customWidth="1"/>
    <col min="2051" max="2051" width="8.453125" style="155" customWidth="1"/>
    <col min="2052" max="2052" width="10.08984375" style="155" customWidth="1"/>
    <col min="2053" max="2053" width="12.6328125" style="155" customWidth="1"/>
    <col min="2054" max="2054" width="10.6328125" style="155" customWidth="1"/>
    <col min="2055" max="2055" width="7.08984375" style="155" customWidth="1"/>
    <col min="2056" max="2056" width="13.36328125" style="155" customWidth="1"/>
    <col min="2057" max="2057" width="11.6328125" style="155" customWidth="1"/>
    <col min="2058" max="2058" width="13.90625" style="155" customWidth="1"/>
    <col min="2059" max="2304" width="7.81640625" style="155"/>
    <col min="2305" max="2305" width="9.6328125" style="155" customWidth="1"/>
    <col min="2306" max="2306" width="10.81640625" style="155" customWidth="1"/>
    <col min="2307" max="2307" width="8.453125" style="155" customWidth="1"/>
    <col min="2308" max="2308" width="10.08984375" style="155" customWidth="1"/>
    <col min="2309" max="2309" width="12.6328125" style="155" customWidth="1"/>
    <col min="2310" max="2310" width="10.6328125" style="155" customWidth="1"/>
    <col min="2311" max="2311" width="7.08984375" style="155" customWidth="1"/>
    <col min="2312" max="2312" width="13.36328125" style="155" customWidth="1"/>
    <col min="2313" max="2313" width="11.6328125" style="155" customWidth="1"/>
    <col min="2314" max="2314" width="13.90625" style="155" customWidth="1"/>
    <col min="2315" max="2560" width="7.81640625" style="155"/>
    <col min="2561" max="2561" width="9.6328125" style="155" customWidth="1"/>
    <col min="2562" max="2562" width="10.81640625" style="155" customWidth="1"/>
    <col min="2563" max="2563" width="8.453125" style="155" customWidth="1"/>
    <col min="2564" max="2564" width="10.08984375" style="155" customWidth="1"/>
    <col min="2565" max="2565" width="12.6328125" style="155" customWidth="1"/>
    <col min="2566" max="2566" width="10.6328125" style="155" customWidth="1"/>
    <col min="2567" max="2567" width="7.08984375" style="155" customWidth="1"/>
    <col min="2568" max="2568" width="13.36328125" style="155" customWidth="1"/>
    <col min="2569" max="2569" width="11.6328125" style="155" customWidth="1"/>
    <col min="2570" max="2570" width="13.90625" style="155" customWidth="1"/>
    <col min="2571" max="2816" width="7.81640625" style="155"/>
    <col min="2817" max="2817" width="9.6328125" style="155" customWidth="1"/>
    <col min="2818" max="2818" width="10.81640625" style="155" customWidth="1"/>
    <col min="2819" max="2819" width="8.453125" style="155" customWidth="1"/>
    <col min="2820" max="2820" width="10.08984375" style="155" customWidth="1"/>
    <col min="2821" max="2821" width="12.6328125" style="155" customWidth="1"/>
    <col min="2822" max="2822" width="10.6328125" style="155" customWidth="1"/>
    <col min="2823" max="2823" width="7.08984375" style="155" customWidth="1"/>
    <col min="2824" max="2824" width="13.36328125" style="155" customWidth="1"/>
    <col min="2825" max="2825" width="11.6328125" style="155" customWidth="1"/>
    <col min="2826" max="2826" width="13.90625" style="155" customWidth="1"/>
    <col min="2827" max="3072" width="7.81640625" style="155"/>
    <col min="3073" max="3073" width="9.6328125" style="155" customWidth="1"/>
    <col min="3074" max="3074" width="10.81640625" style="155" customWidth="1"/>
    <col min="3075" max="3075" width="8.453125" style="155" customWidth="1"/>
    <col min="3076" max="3076" width="10.08984375" style="155" customWidth="1"/>
    <col min="3077" max="3077" width="12.6328125" style="155" customWidth="1"/>
    <col min="3078" max="3078" width="10.6328125" style="155" customWidth="1"/>
    <col min="3079" max="3079" width="7.08984375" style="155" customWidth="1"/>
    <col min="3080" max="3080" width="13.36328125" style="155" customWidth="1"/>
    <col min="3081" max="3081" width="11.6328125" style="155" customWidth="1"/>
    <col min="3082" max="3082" width="13.90625" style="155" customWidth="1"/>
    <col min="3083" max="3328" width="7.81640625" style="155"/>
    <col min="3329" max="3329" width="9.6328125" style="155" customWidth="1"/>
    <col min="3330" max="3330" width="10.81640625" style="155" customWidth="1"/>
    <col min="3331" max="3331" width="8.453125" style="155" customWidth="1"/>
    <col min="3332" max="3332" width="10.08984375" style="155" customWidth="1"/>
    <col min="3333" max="3333" width="12.6328125" style="155" customWidth="1"/>
    <col min="3334" max="3334" width="10.6328125" style="155" customWidth="1"/>
    <col min="3335" max="3335" width="7.08984375" style="155" customWidth="1"/>
    <col min="3336" max="3336" width="13.36328125" style="155" customWidth="1"/>
    <col min="3337" max="3337" width="11.6328125" style="155" customWidth="1"/>
    <col min="3338" max="3338" width="13.90625" style="155" customWidth="1"/>
    <col min="3339" max="3584" width="7.81640625" style="155"/>
    <col min="3585" max="3585" width="9.6328125" style="155" customWidth="1"/>
    <col min="3586" max="3586" width="10.81640625" style="155" customWidth="1"/>
    <col min="3587" max="3587" width="8.453125" style="155" customWidth="1"/>
    <col min="3588" max="3588" width="10.08984375" style="155" customWidth="1"/>
    <col min="3589" max="3589" width="12.6328125" style="155" customWidth="1"/>
    <col min="3590" max="3590" width="10.6328125" style="155" customWidth="1"/>
    <col min="3591" max="3591" width="7.08984375" style="155" customWidth="1"/>
    <col min="3592" max="3592" width="13.36328125" style="155" customWidth="1"/>
    <col min="3593" max="3593" width="11.6328125" style="155" customWidth="1"/>
    <col min="3594" max="3594" width="13.90625" style="155" customWidth="1"/>
    <col min="3595" max="3840" width="7.81640625" style="155"/>
    <col min="3841" max="3841" width="9.6328125" style="155" customWidth="1"/>
    <col min="3842" max="3842" width="10.81640625" style="155" customWidth="1"/>
    <col min="3843" max="3843" width="8.453125" style="155" customWidth="1"/>
    <col min="3844" max="3844" width="10.08984375" style="155" customWidth="1"/>
    <col min="3845" max="3845" width="12.6328125" style="155" customWidth="1"/>
    <col min="3846" max="3846" width="10.6328125" style="155" customWidth="1"/>
    <col min="3847" max="3847" width="7.08984375" style="155" customWidth="1"/>
    <col min="3848" max="3848" width="13.36328125" style="155" customWidth="1"/>
    <col min="3849" max="3849" width="11.6328125" style="155" customWidth="1"/>
    <col min="3850" max="3850" width="13.90625" style="155" customWidth="1"/>
    <col min="3851" max="4096" width="7.81640625" style="155"/>
    <col min="4097" max="4097" width="9.6328125" style="155" customWidth="1"/>
    <col min="4098" max="4098" width="10.81640625" style="155" customWidth="1"/>
    <col min="4099" max="4099" width="8.453125" style="155" customWidth="1"/>
    <col min="4100" max="4100" width="10.08984375" style="155" customWidth="1"/>
    <col min="4101" max="4101" width="12.6328125" style="155" customWidth="1"/>
    <col min="4102" max="4102" width="10.6328125" style="155" customWidth="1"/>
    <col min="4103" max="4103" width="7.08984375" style="155" customWidth="1"/>
    <col min="4104" max="4104" width="13.36328125" style="155" customWidth="1"/>
    <col min="4105" max="4105" width="11.6328125" style="155" customWidth="1"/>
    <col min="4106" max="4106" width="13.90625" style="155" customWidth="1"/>
    <col min="4107" max="4352" width="7.81640625" style="155"/>
    <col min="4353" max="4353" width="9.6328125" style="155" customWidth="1"/>
    <col min="4354" max="4354" width="10.81640625" style="155" customWidth="1"/>
    <col min="4355" max="4355" width="8.453125" style="155" customWidth="1"/>
    <col min="4356" max="4356" width="10.08984375" style="155" customWidth="1"/>
    <col min="4357" max="4357" width="12.6328125" style="155" customWidth="1"/>
    <col min="4358" max="4358" width="10.6328125" style="155" customWidth="1"/>
    <col min="4359" max="4359" width="7.08984375" style="155" customWidth="1"/>
    <col min="4360" max="4360" width="13.36328125" style="155" customWidth="1"/>
    <col min="4361" max="4361" width="11.6328125" style="155" customWidth="1"/>
    <col min="4362" max="4362" width="13.90625" style="155" customWidth="1"/>
    <col min="4363" max="4608" width="7.81640625" style="155"/>
    <col min="4609" max="4609" width="9.6328125" style="155" customWidth="1"/>
    <col min="4610" max="4610" width="10.81640625" style="155" customWidth="1"/>
    <col min="4611" max="4611" width="8.453125" style="155" customWidth="1"/>
    <col min="4612" max="4612" width="10.08984375" style="155" customWidth="1"/>
    <col min="4613" max="4613" width="12.6328125" style="155" customWidth="1"/>
    <col min="4614" max="4614" width="10.6328125" style="155" customWidth="1"/>
    <col min="4615" max="4615" width="7.08984375" style="155" customWidth="1"/>
    <col min="4616" max="4616" width="13.36328125" style="155" customWidth="1"/>
    <col min="4617" max="4617" width="11.6328125" style="155" customWidth="1"/>
    <col min="4618" max="4618" width="13.90625" style="155" customWidth="1"/>
    <col min="4619" max="4864" width="7.81640625" style="155"/>
    <col min="4865" max="4865" width="9.6328125" style="155" customWidth="1"/>
    <col min="4866" max="4866" width="10.81640625" style="155" customWidth="1"/>
    <col min="4867" max="4867" width="8.453125" style="155" customWidth="1"/>
    <col min="4868" max="4868" width="10.08984375" style="155" customWidth="1"/>
    <col min="4869" max="4869" width="12.6328125" style="155" customWidth="1"/>
    <col min="4870" max="4870" width="10.6328125" style="155" customWidth="1"/>
    <col min="4871" max="4871" width="7.08984375" style="155" customWidth="1"/>
    <col min="4872" max="4872" width="13.36328125" style="155" customWidth="1"/>
    <col min="4873" max="4873" width="11.6328125" style="155" customWidth="1"/>
    <col min="4874" max="4874" width="13.90625" style="155" customWidth="1"/>
    <col min="4875" max="5120" width="7.81640625" style="155"/>
    <col min="5121" max="5121" width="9.6328125" style="155" customWidth="1"/>
    <col min="5122" max="5122" width="10.81640625" style="155" customWidth="1"/>
    <col min="5123" max="5123" width="8.453125" style="155" customWidth="1"/>
    <col min="5124" max="5124" width="10.08984375" style="155" customWidth="1"/>
    <col min="5125" max="5125" width="12.6328125" style="155" customWidth="1"/>
    <col min="5126" max="5126" width="10.6328125" style="155" customWidth="1"/>
    <col min="5127" max="5127" width="7.08984375" style="155" customWidth="1"/>
    <col min="5128" max="5128" width="13.36328125" style="155" customWidth="1"/>
    <col min="5129" max="5129" width="11.6328125" style="155" customWidth="1"/>
    <col min="5130" max="5130" width="13.90625" style="155" customWidth="1"/>
    <col min="5131" max="5376" width="7.81640625" style="155"/>
    <col min="5377" max="5377" width="9.6328125" style="155" customWidth="1"/>
    <col min="5378" max="5378" width="10.81640625" style="155" customWidth="1"/>
    <col min="5379" max="5379" width="8.453125" style="155" customWidth="1"/>
    <col min="5380" max="5380" width="10.08984375" style="155" customWidth="1"/>
    <col min="5381" max="5381" width="12.6328125" style="155" customWidth="1"/>
    <col min="5382" max="5382" width="10.6328125" style="155" customWidth="1"/>
    <col min="5383" max="5383" width="7.08984375" style="155" customWidth="1"/>
    <col min="5384" max="5384" width="13.36328125" style="155" customWidth="1"/>
    <col min="5385" max="5385" width="11.6328125" style="155" customWidth="1"/>
    <col min="5386" max="5386" width="13.90625" style="155" customWidth="1"/>
    <col min="5387" max="5632" width="7.81640625" style="155"/>
    <col min="5633" max="5633" width="9.6328125" style="155" customWidth="1"/>
    <col min="5634" max="5634" width="10.81640625" style="155" customWidth="1"/>
    <col min="5635" max="5635" width="8.453125" style="155" customWidth="1"/>
    <col min="5636" max="5636" width="10.08984375" style="155" customWidth="1"/>
    <col min="5637" max="5637" width="12.6328125" style="155" customWidth="1"/>
    <col min="5638" max="5638" width="10.6328125" style="155" customWidth="1"/>
    <col min="5639" max="5639" width="7.08984375" style="155" customWidth="1"/>
    <col min="5640" max="5640" width="13.36328125" style="155" customWidth="1"/>
    <col min="5641" max="5641" width="11.6328125" style="155" customWidth="1"/>
    <col min="5642" max="5642" width="13.90625" style="155" customWidth="1"/>
    <col min="5643" max="5888" width="7.81640625" style="155"/>
    <col min="5889" max="5889" width="9.6328125" style="155" customWidth="1"/>
    <col min="5890" max="5890" width="10.81640625" style="155" customWidth="1"/>
    <col min="5891" max="5891" width="8.453125" style="155" customWidth="1"/>
    <col min="5892" max="5892" width="10.08984375" style="155" customWidth="1"/>
    <col min="5893" max="5893" width="12.6328125" style="155" customWidth="1"/>
    <col min="5894" max="5894" width="10.6328125" style="155" customWidth="1"/>
    <col min="5895" max="5895" width="7.08984375" style="155" customWidth="1"/>
    <col min="5896" max="5896" width="13.36328125" style="155" customWidth="1"/>
    <col min="5897" max="5897" width="11.6328125" style="155" customWidth="1"/>
    <col min="5898" max="5898" width="13.90625" style="155" customWidth="1"/>
    <col min="5899" max="6144" width="7.81640625" style="155"/>
    <col min="6145" max="6145" width="9.6328125" style="155" customWidth="1"/>
    <col min="6146" max="6146" width="10.81640625" style="155" customWidth="1"/>
    <col min="6147" max="6147" width="8.453125" style="155" customWidth="1"/>
    <col min="6148" max="6148" width="10.08984375" style="155" customWidth="1"/>
    <col min="6149" max="6149" width="12.6328125" style="155" customWidth="1"/>
    <col min="6150" max="6150" width="10.6328125" style="155" customWidth="1"/>
    <col min="6151" max="6151" width="7.08984375" style="155" customWidth="1"/>
    <col min="6152" max="6152" width="13.36328125" style="155" customWidth="1"/>
    <col min="6153" max="6153" width="11.6328125" style="155" customWidth="1"/>
    <col min="6154" max="6154" width="13.90625" style="155" customWidth="1"/>
    <col min="6155" max="6400" width="7.81640625" style="155"/>
    <col min="6401" max="6401" width="9.6328125" style="155" customWidth="1"/>
    <col min="6402" max="6402" width="10.81640625" style="155" customWidth="1"/>
    <col min="6403" max="6403" width="8.453125" style="155" customWidth="1"/>
    <col min="6404" max="6404" width="10.08984375" style="155" customWidth="1"/>
    <col min="6405" max="6405" width="12.6328125" style="155" customWidth="1"/>
    <col min="6406" max="6406" width="10.6328125" style="155" customWidth="1"/>
    <col min="6407" max="6407" width="7.08984375" style="155" customWidth="1"/>
    <col min="6408" max="6408" width="13.36328125" style="155" customWidth="1"/>
    <col min="6409" max="6409" width="11.6328125" style="155" customWidth="1"/>
    <col min="6410" max="6410" width="13.90625" style="155" customWidth="1"/>
    <col min="6411" max="6656" width="7.81640625" style="155"/>
    <col min="6657" max="6657" width="9.6328125" style="155" customWidth="1"/>
    <col min="6658" max="6658" width="10.81640625" style="155" customWidth="1"/>
    <col min="6659" max="6659" width="8.453125" style="155" customWidth="1"/>
    <col min="6660" max="6660" width="10.08984375" style="155" customWidth="1"/>
    <col min="6661" max="6661" width="12.6328125" style="155" customWidth="1"/>
    <col min="6662" max="6662" width="10.6328125" style="155" customWidth="1"/>
    <col min="6663" max="6663" width="7.08984375" style="155" customWidth="1"/>
    <col min="6664" max="6664" width="13.36328125" style="155" customWidth="1"/>
    <col min="6665" max="6665" width="11.6328125" style="155" customWidth="1"/>
    <col min="6666" max="6666" width="13.90625" style="155" customWidth="1"/>
    <col min="6667" max="6912" width="7.81640625" style="155"/>
    <col min="6913" max="6913" width="9.6328125" style="155" customWidth="1"/>
    <col min="6914" max="6914" width="10.81640625" style="155" customWidth="1"/>
    <col min="6915" max="6915" width="8.453125" style="155" customWidth="1"/>
    <col min="6916" max="6916" width="10.08984375" style="155" customWidth="1"/>
    <col min="6917" max="6917" width="12.6328125" style="155" customWidth="1"/>
    <col min="6918" max="6918" width="10.6328125" style="155" customWidth="1"/>
    <col min="6919" max="6919" width="7.08984375" style="155" customWidth="1"/>
    <col min="6920" max="6920" width="13.36328125" style="155" customWidth="1"/>
    <col min="6921" max="6921" width="11.6328125" style="155" customWidth="1"/>
    <col min="6922" max="6922" width="13.90625" style="155" customWidth="1"/>
    <col min="6923" max="7168" width="7.81640625" style="155"/>
    <col min="7169" max="7169" width="9.6328125" style="155" customWidth="1"/>
    <col min="7170" max="7170" width="10.81640625" style="155" customWidth="1"/>
    <col min="7171" max="7171" width="8.453125" style="155" customWidth="1"/>
    <col min="7172" max="7172" width="10.08984375" style="155" customWidth="1"/>
    <col min="7173" max="7173" width="12.6328125" style="155" customWidth="1"/>
    <col min="7174" max="7174" width="10.6328125" style="155" customWidth="1"/>
    <col min="7175" max="7175" width="7.08984375" style="155" customWidth="1"/>
    <col min="7176" max="7176" width="13.36328125" style="155" customWidth="1"/>
    <col min="7177" max="7177" width="11.6328125" style="155" customWidth="1"/>
    <col min="7178" max="7178" width="13.90625" style="155" customWidth="1"/>
    <col min="7179" max="7424" width="7.81640625" style="155"/>
    <col min="7425" max="7425" width="9.6328125" style="155" customWidth="1"/>
    <col min="7426" max="7426" width="10.81640625" style="155" customWidth="1"/>
    <col min="7427" max="7427" width="8.453125" style="155" customWidth="1"/>
    <col min="7428" max="7428" width="10.08984375" style="155" customWidth="1"/>
    <col min="7429" max="7429" width="12.6328125" style="155" customWidth="1"/>
    <col min="7430" max="7430" width="10.6328125" style="155" customWidth="1"/>
    <col min="7431" max="7431" width="7.08984375" style="155" customWidth="1"/>
    <col min="7432" max="7432" width="13.36328125" style="155" customWidth="1"/>
    <col min="7433" max="7433" width="11.6328125" style="155" customWidth="1"/>
    <col min="7434" max="7434" width="13.90625" style="155" customWidth="1"/>
    <col min="7435" max="7680" width="7.81640625" style="155"/>
    <col min="7681" max="7681" width="9.6328125" style="155" customWidth="1"/>
    <col min="7682" max="7682" width="10.81640625" style="155" customWidth="1"/>
    <col min="7683" max="7683" width="8.453125" style="155" customWidth="1"/>
    <col min="7684" max="7684" width="10.08984375" style="155" customWidth="1"/>
    <col min="7685" max="7685" width="12.6328125" style="155" customWidth="1"/>
    <col min="7686" max="7686" width="10.6328125" style="155" customWidth="1"/>
    <col min="7687" max="7687" width="7.08984375" style="155" customWidth="1"/>
    <col min="7688" max="7688" width="13.36328125" style="155" customWidth="1"/>
    <col min="7689" max="7689" width="11.6328125" style="155" customWidth="1"/>
    <col min="7690" max="7690" width="13.90625" style="155" customWidth="1"/>
    <col min="7691" max="7936" width="7.81640625" style="155"/>
    <col min="7937" max="7937" width="9.6328125" style="155" customWidth="1"/>
    <col min="7938" max="7938" width="10.81640625" style="155" customWidth="1"/>
    <col min="7939" max="7939" width="8.453125" style="155" customWidth="1"/>
    <col min="7940" max="7940" width="10.08984375" style="155" customWidth="1"/>
    <col min="7941" max="7941" width="12.6328125" style="155" customWidth="1"/>
    <col min="7942" max="7942" width="10.6328125" style="155" customWidth="1"/>
    <col min="7943" max="7943" width="7.08984375" style="155" customWidth="1"/>
    <col min="7944" max="7944" width="13.36328125" style="155" customWidth="1"/>
    <col min="7945" max="7945" width="11.6328125" style="155" customWidth="1"/>
    <col min="7946" max="7946" width="13.90625" style="155" customWidth="1"/>
    <col min="7947" max="8192" width="7.81640625" style="155"/>
    <col min="8193" max="8193" width="9.6328125" style="155" customWidth="1"/>
    <col min="8194" max="8194" width="10.81640625" style="155" customWidth="1"/>
    <col min="8195" max="8195" width="8.453125" style="155" customWidth="1"/>
    <col min="8196" max="8196" width="10.08984375" style="155" customWidth="1"/>
    <col min="8197" max="8197" width="12.6328125" style="155" customWidth="1"/>
    <col min="8198" max="8198" width="10.6328125" style="155" customWidth="1"/>
    <col min="8199" max="8199" width="7.08984375" style="155" customWidth="1"/>
    <col min="8200" max="8200" width="13.36328125" style="155" customWidth="1"/>
    <col min="8201" max="8201" width="11.6328125" style="155" customWidth="1"/>
    <col min="8202" max="8202" width="13.90625" style="155" customWidth="1"/>
    <col min="8203" max="8448" width="7.81640625" style="155"/>
    <col min="8449" max="8449" width="9.6328125" style="155" customWidth="1"/>
    <col min="8450" max="8450" width="10.81640625" style="155" customWidth="1"/>
    <col min="8451" max="8451" width="8.453125" style="155" customWidth="1"/>
    <col min="8452" max="8452" width="10.08984375" style="155" customWidth="1"/>
    <col min="8453" max="8453" width="12.6328125" style="155" customWidth="1"/>
    <col min="8454" max="8454" width="10.6328125" style="155" customWidth="1"/>
    <col min="8455" max="8455" width="7.08984375" style="155" customWidth="1"/>
    <col min="8456" max="8456" width="13.36328125" style="155" customWidth="1"/>
    <col min="8457" max="8457" width="11.6328125" style="155" customWidth="1"/>
    <col min="8458" max="8458" width="13.90625" style="155" customWidth="1"/>
    <col min="8459" max="8704" width="7.81640625" style="155"/>
    <col min="8705" max="8705" width="9.6328125" style="155" customWidth="1"/>
    <col min="8706" max="8706" width="10.81640625" style="155" customWidth="1"/>
    <col min="8707" max="8707" width="8.453125" style="155" customWidth="1"/>
    <col min="8708" max="8708" width="10.08984375" style="155" customWidth="1"/>
    <col min="8709" max="8709" width="12.6328125" style="155" customWidth="1"/>
    <col min="8710" max="8710" width="10.6328125" style="155" customWidth="1"/>
    <col min="8711" max="8711" width="7.08984375" style="155" customWidth="1"/>
    <col min="8712" max="8712" width="13.36328125" style="155" customWidth="1"/>
    <col min="8713" max="8713" width="11.6328125" style="155" customWidth="1"/>
    <col min="8714" max="8714" width="13.90625" style="155" customWidth="1"/>
    <col min="8715" max="8960" width="7.81640625" style="155"/>
    <col min="8961" max="8961" width="9.6328125" style="155" customWidth="1"/>
    <col min="8962" max="8962" width="10.81640625" style="155" customWidth="1"/>
    <col min="8963" max="8963" width="8.453125" style="155" customWidth="1"/>
    <col min="8964" max="8964" width="10.08984375" style="155" customWidth="1"/>
    <col min="8965" max="8965" width="12.6328125" style="155" customWidth="1"/>
    <col min="8966" max="8966" width="10.6328125" style="155" customWidth="1"/>
    <col min="8967" max="8967" width="7.08984375" style="155" customWidth="1"/>
    <col min="8968" max="8968" width="13.36328125" style="155" customWidth="1"/>
    <col min="8969" max="8969" width="11.6328125" style="155" customWidth="1"/>
    <col min="8970" max="8970" width="13.90625" style="155" customWidth="1"/>
    <col min="8971" max="9216" width="7.81640625" style="155"/>
    <col min="9217" max="9217" width="9.6328125" style="155" customWidth="1"/>
    <col min="9218" max="9218" width="10.81640625" style="155" customWidth="1"/>
    <col min="9219" max="9219" width="8.453125" style="155" customWidth="1"/>
    <col min="9220" max="9220" width="10.08984375" style="155" customWidth="1"/>
    <col min="9221" max="9221" width="12.6328125" style="155" customWidth="1"/>
    <col min="9222" max="9222" width="10.6328125" style="155" customWidth="1"/>
    <col min="9223" max="9223" width="7.08984375" style="155" customWidth="1"/>
    <col min="9224" max="9224" width="13.36328125" style="155" customWidth="1"/>
    <col min="9225" max="9225" width="11.6328125" style="155" customWidth="1"/>
    <col min="9226" max="9226" width="13.90625" style="155" customWidth="1"/>
    <col min="9227" max="9472" width="7.81640625" style="155"/>
    <col min="9473" max="9473" width="9.6328125" style="155" customWidth="1"/>
    <col min="9474" max="9474" width="10.81640625" style="155" customWidth="1"/>
    <col min="9475" max="9475" width="8.453125" style="155" customWidth="1"/>
    <col min="9476" max="9476" width="10.08984375" style="155" customWidth="1"/>
    <col min="9477" max="9477" width="12.6328125" style="155" customWidth="1"/>
    <col min="9478" max="9478" width="10.6328125" style="155" customWidth="1"/>
    <col min="9479" max="9479" width="7.08984375" style="155" customWidth="1"/>
    <col min="9480" max="9480" width="13.36328125" style="155" customWidth="1"/>
    <col min="9481" max="9481" width="11.6328125" style="155" customWidth="1"/>
    <col min="9482" max="9482" width="13.90625" style="155" customWidth="1"/>
    <col min="9483" max="9728" width="7.81640625" style="155"/>
    <col min="9729" max="9729" width="9.6328125" style="155" customWidth="1"/>
    <col min="9730" max="9730" width="10.81640625" style="155" customWidth="1"/>
    <col min="9731" max="9731" width="8.453125" style="155" customWidth="1"/>
    <col min="9732" max="9732" width="10.08984375" style="155" customWidth="1"/>
    <col min="9733" max="9733" width="12.6328125" style="155" customWidth="1"/>
    <col min="9734" max="9734" width="10.6328125" style="155" customWidth="1"/>
    <col min="9735" max="9735" width="7.08984375" style="155" customWidth="1"/>
    <col min="9736" max="9736" width="13.36328125" style="155" customWidth="1"/>
    <col min="9737" max="9737" width="11.6328125" style="155" customWidth="1"/>
    <col min="9738" max="9738" width="13.90625" style="155" customWidth="1"/>
    <col min="9739" max="9984" width="7.81640625" style="155"/>
    <col min="9985" max="9985" width="9.6328125" style="155" customWidth="1"/>
    <col min="9986" max="9986" width="10.81640625" style="155" customWidth="1"/>
    <col min="9987" max="9987" width="8.453125" style="155" customWidth="1"/>
    <col min="9988" max="9988" width="10.08984375" style="155" customWidth="1"/>
    <col min="9989" max="9989" width="12.6328125" style="155" customWidth="1"/>
    <col min="9990" max="9990" width="10.6328125" style="155" customWidth="1"/>
    <col min="9991" max="9991" width="7.08984375" style="155" customWidth="1"/>
    <col min="9992" max="9992" width="13.36328125" style="155" customWidth="1"/>
    <col min="9993" max="9993" width="11.6328125" style="155" customWidth="1"/>
    <col min="9994" max="9994" width="13.90625" style="155" customWidth="1"/>
    <col min="9995" max="10240" width="7.81640625" style="155"/>
    <col min="10241" max="10241" width="9.6328125" style="155" customWidth="1"/>
    <col min="10242" max="10242" width="10.81640625" style="155" customWidth="1"/>
    <col min="10243" max="10243" width="8.453125" style="155" customWidth="1"/>
    <col min="10244" max="10244" width="10.08984375" style="155" customWidth="1"/>
    <col min="10245" max="10245" width="12.6328125" style="155" customWidth="1"/>
    <col min="10246" max="10246" width="10.6328125" style="155" customWidth="1"/>
    <col min="10247" max="10247" width="7.08984375" style="155" customWidth="1"/>
    <col min="10248" max="10248" width="13.36328125" style="155" customWidth="1"/>
    <col min="10249" max="10249" width="11.6328125" style="155" customWidth="1"/>
    <col min="10250" max="10250" width="13.90625" style="155" customWidth="1"/>
    <col min="10251" max="10496" width="7.81640625" style="155"/>
    <col min="10497" max="10497" width="9.6328125" style="155" customWidth="1"/>
    <col min="10498" max="10498" width="10.81640625" style="155" customWidth="1"/>
    <col min="10499" max="10499" width="8.453125" style="155" customWidth="1"/>
    <col min="10500" max="10500" width="10.08984375" style="155" customWidth="1"/>
    <col min="10501" max="10501" width="12.6328125" style="155" customWidth="1"/>
    <col min="10502" max="10502" width="10.6328125" style="155" customWidth="1"/>
    <col min="10503" max="10503" width="7.08984375" style="155" customWidth="1"/>
    <col min="10504" max="10504" width="13.36328125" style="155" customWidth="1"/>
    <col min="10505" max="10505" width="11.6328125" style="155" customWidth="1"/>
    <col min="10506" max="10506" width="13.90625" style="155" customWidth="1"/>
    <col min="10507" max="10752" width="7.81640625" style="155"/>
    <col min="10753" max="10753" width="9.6328125" style="155" customWidth="1"/>
    <col min="10754" max="10754" width="10.81640625" style="155" customWidth="1"/>
    <col min="10755" max="10755" width="8.453125" style="155" customWidth="1"/>
    <col min="10756" max="10756" width="10.08984375" style="155" customWidth="1"/>
    <col min="10757" max="10757" width="12.6328125" style="155" customWidth="1"/>
    <col min="10758" max="10758" width="10.6328125" style="155" customWidth="1"/>
    <col min="10759" max="10759" width="7.08984375" style="155" customWidth="1"/>
    <col min="10760" max="10760" width="13.36328125" style="155" customWidth="1"/>
    <col min="10761" max="10761" width="11.6328125" style="155" customWidth="1"/>
    <col min="10762" max="10762" width="13.90625" style="155" customWidth="1"/>
    <col min="10763" max="11008" width="7.81640625" style="155"/>
    <col min="11009" max="11009" width="9.6328125" style="155" customWidth="1"/>
    <col min="11010" max="11010" width="10.81640625" style="155" customWidth="1"/>
    <col min="11011" max="11011" width="8.453125" style="155" customWidth="1"/>
    <col min="11012" max="11012" width="10.08984375" style="155" customWidth="1"/>
    <col min="11013" max="11013" width="12.6328125" style="155" customWidth="1"/>
    <col min="11014" max="11014" width="10.6328125" style="155" customWidth="1"/>
    <col min="11015" max="11015" width="7.08984375" style="155" customWidth="1"/>
    <col min="11016" max="11016" width="13.36328125" style="155" customWidth="1"/>
    <col min="11017" max="11017" width="11.6328125" style="155" customWidth="1"/>
    <col min="11018" max="11018" width="13.90625" style="155" customWidth="1"/>
    <col min="11019" max="11264" width="7.81640625" style="155"/>
    <col min="11265" max="11265" width="9.6328125" style="155" customWidth="1"/>
    <col min="11266" max="11266" width="10.81640625" style="155" customWidth="1"/>
    <col min="11267" max="11267" width="8.453125" style="155" customWidth="1"/>
    <col min="11268" max="11268" width="10.08984375" style="155" customWidth="1"/>
    <col min="11269" max="11269" width="12.6328125" style="155" customWidth="1"/>
    <col min="11270" max="11270" width="10.6328125" style="155" customWidth="1"/>
    <col min="11271" max="11271" width="7.08984375" style="155" customWidth="1"/>
    <col min="11272" max="11272" width="13.36328125" style="155" customWidth="1"/>
    <col min="11273" max="11273" width="11.6328125" style="155" customWidth="1"/>
    <col min="11274" max="11274" width="13.90625" style="155" customWidth="1"/>
    <col min="11275" max="11520" width="7.81640625" style="155"/>
    <col min="11521" max="11521" width="9.6328125" style="155" customWidth="1"/>
    <col min="11522" max="11522" width="10.81640625" style="155" customWidth="1"/>
    <col min="11523" max="11523" width="8.453125" style="155" customWidth="1"/>
    <col min="11524" max="11524" width="10.08984375" style="155" customWidth="1"/>
    <col min="11525" max="11525" width="12.6328125" style="155" customWidth="1"/>
    <col min="11526" max="11526" width="10.6328125" style="155" customWidth="1"/>
    <col min="11527" max="11527" width="7.08984375" style="155" customWidth="1"/>
    <col min="11528" max="11528" width="13.36328125" style="155" customWidth="1"/>
    <col min="11529" max="11529" width="11.6328125" style="155" customWidth="1"/>
    <col min="11530" max="11530" width="13.90625" style="155" customWidth="1"/>
    <col min="11531" max="11776" width="7.81640625" style="155"/>
    <col min="11777" max="11777" width="9.6328125" style="155" customWidth="1"/>
    <col min="11778" max="11778" width="10.81640625" style="155" customWidth="1"/>
    <col min="11779" max="11779" width="8.453125" style="155" customWidth="1"/>
    <col min="11780" max="11780" width="10.08984375" style="155" customWidth="1"/>
    <col min="11781" max="11781" width="12.6328125" style="155" customWidth="1"/>
    <col min="11782" max="11782" width="10.6328125" style="155" customWidth="1"/>
    <col min="11783" max="11783" width="7.08984375" style="155" customWidth="1"/>
    <col min="11784" max="11784" width="13.36328125" style="155" customWidth="1"/>
    <col min="11785" max="11785" width="11.6328125" style="155" customWidth="1"/>
    <col min="11786" max="11786" width="13.90625" style="155" customWidth="1"/>
    <col min="11787" max="12032" width="7.81640625" style="155"/>
    <col min="12033" max="12033" width="9.6328125" style="155" customWidth="1"/>
    <col min="12034" max="12034" width="10.81640625" style="155" customWidth="1"/>
    <col min="12035" max="12035" width="8.453125" style="155" customWidth="1"/>
    <col min="12036" max="12036" width="10.08984375" style="155" customWidth="1"/>
    <col min="12037" max="12037" width="12.6328125" style="155" customWidth="1"/>
    <col min="12038" max="12038" width="10.6328125" style="155" customWidth="1"/>
    <col min="12039" max="12039" width="7.08984375" style="155" customWidth="1"/>
    <col min="12040" max="12040" width="13.36328125" style="155" customWidth="1"/>
    <col min="12041" max="12041" width="11.6328125" style="155" customWidth="1"/>
    <col min="12042" max="12042" width="13.90625" style="155" customWidth="1"/>
    <col min="12043" max="12288" width="7.81640625" style="155"/>
    <col min="12289" max="12289" width="9.6328125" style="155" customWidth="1"/>
    <col min="12290" max="12290" width="10.81640625" style="155" customWidth="1"/>
    <col min="12291" max="12291" width="8.453125" style="155" customWidth="1"/>
    <col min="12292" max="12292" width="10.08984375" style="155" customWidth="1"/>
    <col min="12293" max="12293" width="12.6328125" style="155" customWidth="1"/>
    <col min="12294" max="12294" width="10.6328125" style="155" customWidth="1"/>
    <col min="12295" max="12295" width="7.08984375" style="155" customWidth="1"/>
    <col min="12296" max="12296" width="13.36328125" style="155" customWidth="1"/>
    <col min="12297" max="12297" width="11.6328125" style="155" customWidth="1"/>
    <col min="12298" max="12298" width="13.90625" style="155" customWidth="1"/>
    <col min="12299" max="12544" width="7.81640625" style="155"/>
    <col min="12545" max="12545" width="9.6328125" style="155" customWidth="1"/>
    <col min="12546" max="12546" width="10.81640625" style="155" customWidth="1"/>
    <col min="12547" max="12547" width="8.453125" style="155" customWidth="1"/>
    <col min="12548" max="12548" width="10.08984375" style="155" customWidth="1"/>
    <col min="12549" max="12549" width="12.6328125" style="155" customWidth="1"/>
    <col min="12550" max="12550" width="10.6328125" style="155" customWidth="1"/>
    <col min="12551" max="12551" width="7.08984375" style="155" customWidth="1"/>
    <col min="12552" max="12552" width="13.36328125" style="155" customWidth="1"/>
    <col min="12553" max="12553" width="11.6328125" style="155" customWidth="1"/>
    <col min="12554" max="12554" width="13.90625" style="155" customWidth="1"/>
    <col min="12555" max="12800" width="7.81640625" style="155"/>
    <col min="12801" max="12801" width="9.6328125" style="155" customWidth="1"/>
    <col min="12802" max="12802" width="10.81640625" style="155" customWidth="1"/>
    <col min="12803" max="12803" width="8.453125" style="155" customWidth="1"/>
    <col min="12804" max="12804" width="10.08984375" style="155" customWidth="1"/>
    <col min="12805" max="12805" width="12.6328125" style="155" customWidth="1"/>
    <col min="12806" max="12806" width="10.6328125" style="155" customWidth="1"/>
    <col min="12807" max="12807" width="7.08984375" style="155" customWidth="1"/>
    <col min="12808" max="12808" width="13.36328125" style="155" customWidth="1"/>
    <col min="12809" max="12809" width="11.6328125" style="155" customWidth="1"/>
    <col min="12810" max="12810" width="13.90625" style="155" customWidth="1"/>
    <col min="12811" max="13056" width="7.81640625" style="155"/>
    <col min="13057" max="13057" width="9.6328125" style="155" customWidth="1"/>
    <col min="13058" max="13058" width="10.81640625" style="155" customWidth="1"/>
    <col min="13059" max="13059" width="8.453125" style="155" customWidth="1"/>
    <col min="13060" max="13060" width="10.08984375" style="155" customWidth="1"/>
    <col min="13061" max="13061" width="12.6328125" style="155" customWidth="1"/>
    <col min="13062" max="13062" width="10.6328125" style="155" customWidth="1"/>
    <col min="13063" max="13063" width="7.08984375" style="155" customWidth="1"/>
    <col min="13064" max="13064" width="13.36328125" style="155" customWidth="1"/>
    <col min="13065" max="13065" width="11.6328125" style="155" customWidth="1"/>
    <col min="13066" max="13066" width="13.90625" style="155" customWidth="1"/>
    <col min="13067" max="13312" width="7.81640625" style="155"/>
    <col min="13313" max="13313" width="9.6328125" style="155" customWidth="1"/>
    <col min="13314" max="13314" width="10.81640625" style="155" customWidth="1"/>
    <col min="13315" max="13315" width="8.453125" style="155" customWidth="1"/>
    <col min="13316" max="13316" width="10.08984375" style="155" customWidth="1"/>
    <col min="13317" max="13317" width="12.6328125" style="155" customWidth="1"/>
    <col min="13318" max="13318" width="10.6328125" style="155" customWidth="1"/>
    <col min="13319" max="13319" width="7.08984375" style="155" customWidth="1"/>
    <col min="13320" max="13320" width="13.36328125" style="155" customWidth="1"/>
    <col min="13321" max="13321" width="11.6328125" style="155" customWidth="1"/>
    <col min="13322" max="13322" width="13.90625" style="155" customWidth="1"/>
    <col min="13323" max="13568" width="7.81640625" style="155"/>
    <col min="13569" max="13569" width="9.6328125" style="155" customWidth="1"/>
    <col min="13570" max="13570" width="10.81640625" style="155" customWidth="1"/>
    <col min="13571" max="13571" width="8.453125" style="155" customWidth="1"/>
    <col min="13572" max="13572" width="10.08984375" style="155" customWidth="1"/>
    <col min="13573" max="13573" width="12.6328125" style="155" customWidth="1"/>
    <col min="13574" max="13574" width="10.6328125" style="155" customWidth="1"/>
    <col min="13575" max="13575" width="7.08984375" style="155" customWidth="1"/>
    <col min="13576" max="13576" width="13.36328125" style="155" customWidth="1"/>
    <col min="13577" max="13577" width="11.6328125" style="155" customWidth="1"/>
    <col min="13578" max="13578" width="13.90625" style="155" customWidth="1"/>
    <col min="13579" max="13824" width="7.81640625" style="155"/>
    <col min="13825" max="13825" width="9.6328125" style="155" customWidth="1"/>
    <col min="13826" max="13826" width="10.81640625" style="155" customWidth="1"/>
    <col min="13827" max="13827" width="8.453125" style="155" customWidth="1"/>
    <col min="13828" max="13828" width="10.08984375" style="155" customWidth="1"/>
    <col min="13829" max="13829" width="12.6328125" style="155" customWidth="1"/>
    <col min="13830" max="13830" width="10.6328125" style="155" customWidth="1"/>
    <col min="13831" max="13831" width="7.08984375" style="155" customWidth="1"/>
    <col min="13832" max="13832" width="13.36328125" style="155" customWidth="1"/>
    <col min="13833" max="13833" width="11.6328125" style="155" customWidth="1"/>
    <col min="13834" max="13834" width="13.90625" style="155" customWidth="1"/>
    <col min="13835" max="14080" width="7.81640625" style="155"/>
    <col min="14081" max="14081" width="9.6328125" style="155" customWidth="1"/>
    <col min="14082" max="14082" width="10.81640625" style="155" customWidth="1"/>
    <col min="14083" max="14083" width="8.453125" style="155" customWidth="1"/>
    <col min="14084" max="14084" width="10.08984375" style="155" customWidth="1"/>
    <col min="14085" max="14085" width="12.6328125" style="155" customWidth="1"/>
    <col min="14086" max="14086" width="10.6328125" style="155" customWidth="1"/>
    <col min="14087" max="14087" width="7.08984375" style="155" customWidth="1"/>
    <col min="14088" max="14088" width="13.36328125" style="155" customWidth="1"/>
    <col min="14089" max="14089" width="11.6328125" style="155" customWidth="1"/>
    <col min="14090" max="14090" width="13.90625" style="155" customWidth="1"/>
    <col min="14091" max="14336" width="7.81640625" style="155"/>
    <col min="14337" max="14337" width="9.6328125" style="155" customWidth="1"/>
    <col min="14338" max="14338" width="10.81640625" style="155" customWidth="1"/>
    <col min="14339" max="14339" width="8.453125" style="155" customWidth="1"/>
    <col min="14340" max="14340" width="10.08984375" style="155" customWidth="1"/>
    <col min="14341" max="14341" width="12.6328125" style="155" customWidth="1"/>
    <col min="14342" max="14342" width="10.6328125" style="155" customWidth="1"/>
    <col min="14343" max="14343" width="7.08984375" style="155" customWidth="1"/>
    <col min="14344" max="14344" width="13.36328125" style="155" customWidth="1"/>
    <col min="14345" max="14345" width="11.6328125" style="155" customWidth="1"/>
    <col min="14346" max="14346" width="13.90625" style="155" customWidth="1"/>
    <col min="14347" max="14592" width="7.81640625" style="155"/>
    <col min="14593" max="14593" width="9.6328125" style="155" customWidth="1"/>
    <col min="14594" max="14594" width="10.81640625" style="155" customWidth="1"/>
    <col min="14595" max="14595" width="8.453125" style="155" customWidth="1"/>
    <col min="14596" max="14596" width="10.08984375" style="155" customWidth="1"/>
    <col min="14597" max="14597" width="12.6328125" style="155" customWidth="1"/>
    <col min="14598" max="14598" width="10.6328125" style="155" customWidth="1"/>
    <col min="14599" max="14599" width="7.08984375" style="155" customWidth="1"/>
    <col min="14600" max="14600" width="13.36328125" style="155" customWidth="1"/>
    <col min="14601" max="14601" width="11.6328125" style="155" customWidth="1"/>
    <col min="14602" max="14602" width="13.90625" style="155" customWidth="1"/>
    <col min="14603" max="14848" width="7.81640625" style="155"/>
    <col min="14849" max="14849" width="9.6328125" style="155" customWidth="1"/>
    <col min="14850" max="14850" width="10.81640625" style="155" customWidth="1"/>
    <col min="14851" max="14851" width="8.453125" style="155" customWidth="1"/>
    <col min="14852" max="14852" width="10.08984375" style="155" customWidth="1"/>
    <col min="14853" max="14853" width="12.6328125" style="155" customWidth="1"/>
    <col min="14854" max="14854" width="10.6328125" style="155" customWidth="1"/>
    <col min="14855" max="14855" width="7.08984375" style="155" customWidth="1"/>
    <col min="14856" max="14856" width="13.36328125" style="155" customWidth="1"/>
    <col min="14857" max="14857" width="11.6328125" style="155" customWidth="1"/>
    <col min="14858" max="14858" width="13.90625" style="155" customWidth="1"/>
    <col min="14859" max="15104" width="7.81640625" style="155"/>
    <col min="15105" max="15105" width="9.6328125" style="155" customWidth="1"/>
    <col min="15106" max="15106" width="10.81640625" style="155" customWidth="1"/>
    <col min="15107" max="15107" width="8.453125" style="155" customWidth="1"/>
    <col min="15108" max="15108" width="10.08984375" style="155" customWidth="1"/>
    <col min="15109" max="15109" width="12.6328125" style="155" customWidth="1"/>
    <col min="15110" max="15110" width="10.6328125" style="155" customWidth="1"/>
    <col min="15111" max="15111" width="7.08984375" style="155" customWidth="1"/>
    <col min="15112" max="15112" width="13.36328125" style="155" customWidth="1"/>
    <col min="15113" max="15113" width="11.6328125" style="155" customWidth="1"/>
    <col min="15114" max="15114" width="13.90625" style="155" customWidth="1"/>
    <col min="15115" max="15360" width="7.81640625" style="155"/>
    <col min="15361" max="15361" width="9.6328125" style="155" customWidth="1"/>
    <col min="15362" max="15362" width="10.81640625" style="155" customWidth="1"/>
    <col min="15363" max="15363" width="8.453125" style="155" customWidth="1"/>
    <col min="15364" max="15364" width="10.08984375" style="155" customWidth="1"/>
    <col min="15365" max="15365" width="12.6328125" style="155" customWidth="1"/>
    <col min="15366" max="15366" width="10.6328125" style="155" customWidth="1"/>
    <col min="15367" max="15367" width="7.08984375" style="155" customWidth="1"/>
    <col min="15368" max="15368" width="13.36328125" style="155" customWidth="1"/>
    <col min="15369" max="15369" width="11.6328125" style="155" customWidth="1"/>
    <col min="15370" max="15370" width="13.90625" style="155" customWidth="1"/>
    <col min="15371" max="15616" width="7.81640625" style="155"/>
    <col min="15617" max="15617" width="9.6328125" style="155" customWidth="1"/>
    <col min="15618" max="15618" width="10.81640625" style="155" customWidth="1"/>
    <col min="15619" max="15619" width="8.453125" style="155" customWidth="1"/>
    <col min="15620" max="15620" width="10.08984375" style="155" customWidth="1"/>
    <col min="15621" max="15621" width="12.6328125" style="155" customWidth="1"/>
    <col min="15622" max="15622" width="10.6328125" style="155" customWidth="1"/>
    <col min="15623" max="15623" width="7.08984375" style="155" customWidth="1"/>
    <col min="15624" max="15624" width="13.36328125" style="155" customWidth="1"/>
    <col min="15625" max="15625" width="11.6328125" style="155" customWidth="1"/>
    <col min="15626" max="15626" width="13.90625" style="155" customWidth="1"/>
    <col min="15627" max="15872" width="7.81640625" style="155"/>
    <col min="15873" max="15873" width="9.6328125" style="155" customWidth="1"/>
    <col min="15874" max="15874" width="10.81640625" style="155" customWidth="1"/>
    <col min="15875" max="15875" width="8.453125" style="155" customWidth="1"/>
    <col min="15876" max="15876" width="10.08984375" style="155" customWidth="1"/>
    <col min="15877" max="15877" width="12.6328125" style="155" customWidth="1"/>
    <col min="15878" max="15878" width="10.6328125" style="155" customWidth="1"/>
    <col min="15879" max="15879" width="7.08984375" style="155" customWidth="1"/>
    <col min="15880" max="15880" width="13.36328125" style="155" customWidth="1"/>
    <col min="15881" max="15881" width="11.6328125" style="155" customWidth="1"/>
    <col min="15882" max="15882" width="13.90625" style="155" customWidth="1"/>
    <col min="15883" max="16128" width="7.81640625" style="155"/>
    <col min="16129" max="16129" width="9.6328125" style="155" customWidth="1"/>
    <col min="16130" max="16130" width="10.81640625" style="155" customWidth="1"/>
    <col min="16131" max="16131" width="8.453125" style="155" customWidth="1"/>
    <col min="16132" max="16132" width="10.08984375" style="155" customWidth="1"/>
    <col min="16133" max="16133" width="12.6328125" style="155" customWidth="1"/>
    <col min="16134" max="16134" width="10.6328125" style="155" customWidth="1"/>
    <col min="16135" max="16135" width="7.08984375" style="155" customWidth="1"/>
    <col min="16136" max="16136" width="13.36328125" style="155" customWidth="1"/>
    <col min="16137" max="16137" width="11.6328125" style="155" customWidth="1"/>
    <col min="16138" max="16138" width="13.90625" style="155" customWidth="1"/>
    <col min="16139" max="16384" width="7.81640625" style="155"/>
  </cols>
  <sheetData>
    <row r="1" spans="1:10" s="125" customFormat="1" ht="20.100000000000001" customHeight="1">
      <c r="A1" s="286"/>
      <c r="B1" s="286"/>
      <c r="C1" s="501" t="s">
        <v>682</v>
      </c>
      <c r="D1" s="501"/>
      <c r="E1" s="501"/>
      <c r="F1" s="501"/>
      <c r="G1" s="501"/>
      <c r="H1" s="501"/>
      <c r="I1" s="292" t="s">
        <v>683</v>
      </c>
      <c r="J1" s="292"/>
    </row>
    <row r="2" spans="1:10" s="125" customFormat="1" ht="24.9" customHeight="1">
      <c r="A2" s="287"/>
      <c r="B2" s="287"/>
      <c r="C2" s="502"/>
      <c r="D2" s="502"/>
      <c r="E2" s="502"/>
      <c r="F2" s="502"/>
      <c r="G2" s="502"/>
      <c r="H2" s="502"/>
      <c r="I2" s="293" t="s">
        <v>81</v>
      </c>
      <c r="J2" s="293"/>
    </row>
    <row r="3" spans="1:10" s="125" customFormat="1" ht="24.9" customHeight="1" thickBot="1">
      <c r="A3" s="288"/>
      <c r="B3" s="288"/>
      <c r="C3" s="503"/>
      <c r="D3" s="503"/>
      <c r="E3" s="503"/>
      <c r="F3" s="503"/>
      <c r="G3" s="503"/>
      <c r="H3" s="503"/>
      <c r="I3" s="294" t="s">
        <v>82</v>
      </c>
      <c r="J3" s="294"/>
    </row>
    <row r="4" spans="1:10" s="239" customFormat="1" ht="21" customHeight="1">
      <c r="A4" s="238" t="s">
        <v>684</v>
      </c>
    </row>
    <row r="5" spans="1:10" s="241" customFormat="1" ht="32.4" customHeight="1">
      <c r="A5" s="497" t="s">
        <v>685</v>
      </c>
      <c r="B5" s="497" t="s">
        <v>686</v>
      </c>
      <c r="C5" s="498" t="s">
        <v>687</v>
      </c>
      <c r="D5" s="498" t="s">
        <v>688</v>
      </c>
      <c r="E5" s="497" t="s">
        <v>689</v>
      </c>
      <c r="F5" s="497"/>
      <c r="G5" s="497"/>
      <c r="H5" s="497"/>
      <c r="I5" s="497" t="s">
        <v>690</v>
      </c>
      <c r="J5" s="505" t="s">
        <v>691</v>
      </c>
    </row>
    <row r="6" spans="1:10" s="241" customFormat="1" ht="21" customHeight="1">
      <c r="A6" s="497"/>
      <c r="B6" s="497"/>
      <c r="C6" s="499"/>
      <c r="D6" s="499"/>
      <c r="E6" s="497" t="s">
        <v>692</v>
      </c>
      <c r="F6" s="497"/>
      <c r="G6" s="497" t="s">
        <v>94</v>
      </c>
      <c r="H6" s="497" t="s">
        <v>693</v>
      </c>
      <c r="I6" s="497"/>
      <c r="J6" s="506"/>
    </row>
    <row r="7" spans="1:10" s="241" customFormat="1" ht="57" customHeight="1">
      <c r="A7" s="497"/>
      <c r="B7" s="497"/>
      <c r="C7" s="500"/>
      <c r="D7" s="500"/>
      <c r="E7" s="240" t="s">
        <v>694</v>
      </c>
      <c r="F7" s="240" t="s">
        <v>695</v>
      </c>
      <c r="G7" s="497"/>
      <c r="H7" s="497"/>
      <c r="I7" s="497"/>
      <c r="J7" s="242" t="s">
        <v>696</v>
      </c>
    </row>
    <row r="8" spans="1:10" ht="16.5" customHeight="1">
      <c r="A8" s="504"/>
      <c r="B8" s="504"/>
      <c r="C8" s="504"/>
      <c r="D8" s="504"/>
      <c r="E8" s="504"/>
      <c r="F8" s="504"/>
      <c r="G8" s="504"/>
      <c r="H8" s="504"/>
      <c r="I8" s="504"/>
      <c r="J8" s="504"/>
    </row>
    <row r="9" spans="1:10" ht="16.5" customHeight="1">
      <c r="A9" s="504"/>
      <c r="B9" s="504"/>
      <c r="C9" s="504"/>
      <c r="D9" s="504"/>
      <c r="E9" s="504"/>
      <c r="F9" s="504"/>
      <c r="G9" s="504"/>
      <c r="H9" s="504"/>
      <c r="I9" s="504"/>
      <c r="J9" s="504"/>
    </row>
    <row r="10" spans="1:10" ht="16.5" customHeight="1">
      <c r="A10" s="504"/>
      <c r="B10" s="504"/>
      <c r="C10" s="504"/>
      <c r="D10" s="504"/>
      <c r="E10" s="504"/>
      <c r="F10" s="504"/>
      <c r="G10" s="504"/>
      <c r="H10" s="504"/>
      <c r="I10" s="504"/>
      <c r="J10" s="504"/>
    </row>
    <row r="11" spans="1:10" ht="16.5" customHeight="1">
      <c r="A11" s="504"/>
      <c r="B11" s="504"/>
      <c r="C11" s="504"/>
      <c r="D11" s="504"/>
      <c r="E11" s="504"/>
      <c r="F11" s="504"/>
      <c r="G11" s="504"/>
      <c r="H11" s="504"/>
      <c r="I11" s="504"/>
      <c r="J11" s="504"/>
    </row>
    <row r="12" spans="1:10" ht="16.5" customHeight="1">
      <c r="A12" s="504"/>
      <c r="B12" s="504"/>
      <c r="C12" s="504"/>
      <c r="D12" s="504"/>
      <c r="E12" s="504"/>
      <c r="F12" s="504"/>
      <c r="G12" s="504"/>
      <c r="H12" s="504"/>
      <c r="I12" s="504"/>
      <c r="J12" s="504"/>
    </row>
    <row r="13" spans="1:10" ht="16.5" customHeight="1">
      <c r="A13" s="504"/>
      <c r="B13" s="504"/>
      <c r="C13" s="504"/>
      <c r="D13" s="504"/>
      <c r="E13" s="504"/>
      <c r="F13" s="504"/>
      <c r="G13" s="504"/>
      <c r="H13" s="504"/>
      <c r="I13" s="504"/>
      <c r="J13" s="504"/>
    </row>
    <row r="14" spans="1:10" ht="16.5" customHeight="1">
      <c r="A14" s="504"/>
      <c r="B14" s="504"/>
      <c r="C14" s="504"/>
      <c r="D14" s="504"/>
      <c r="E14" s="504"/>
      <c r="F14" s="504"/>
      <c r="G14" s="504"/>
      <c r="H14" s="504"/>
      <c r="I14" s="504"/>
      <c r="J14" s="504"/>
    </row>
    <row r="15" spans="1:10" ht="16.5" customHeight="1">
      <c r="A15" s="504"/>
      <c r="B15" s="504"/>
      <c r="C15" s="504"/>
      <c r="D15" s="504"/>
      <c r="E15" s="504"/>
      <c r="F15" s="504"/>
      <c r="G15" s="504"/>
      <c r="H15" s="504"/>
      <c r="I15" s="504"/>
      <c r="J15" s="504"/>
    </row>
    <row r="16" spans="1:10" ht="16.5" customHeight="1">
      <c r="A16" s="504"/>
      <c r="B16" s="504"/>
      <c r="C16" s="504"/>
      <c r="D16" s="504"/>
      <c r="E16" s="504"/>
      <c r="F16" s="504"/>
      <c r="G16" s="504"/>
      <c r="H16" s="504"/>
      <c r="I16" s="504"/>
      <c r="J16" s="504"/>
    </row>
    <row r="17" spans="1:10" ht="16.5" customHeight="1">
      <c r="A17" s="504"/>
      <c r="B17" s="504"/>
      <c r="C17" s="504"/>
      <c r="D17" s="504"/>
      <c r="E17" s="504"/>
      <c r="F17" s="504"/>
      <c r="G17" s="504"/>
      <c r="H17" s="504"/>
      <c r="I17" s="504"/>
      <c r="J17" s="504"/>
    </row>
    <row r="18" spans="1:10" ht="16.5" customHeight="1">
      <c r="A18" s="504"/>
      <c r="B18" s="504"/>
      <c r="C18" s="504"/>
      <c r="D18" s="504"/>
      <c r="E18" s="504"/>
      <c r="F18" s="504"/>
      <c r="G18" s="504"/>
      <c r="H18" s="504"/>
      <c r="I18" s="504"/>
      <c r="J18" s="504"/>
    </row>
    <row r="19" spans="1:10" ht="16.5" customHeight="1">
      <c r="A19" s="504"/>
      <c r="B19" s="504"/>
      <c r="C19" s="504"/>
      <c r="D19" s="504"/>
      <c r="E19" s="504"/>
      <c r="F19" s="504"/>
      <c r="G19" s="504"/>
      <c r="H19" s="504"/>
      <c r="I19" s="504"/>
      <c r="J19" s="504"/>
    </row>
    <row r="21" spans="1:10" s="237" customFormat="1" ht="16.5" customHeight="1">
      <c r="A21" s="491" t="s">
        <v>680</v>
      </c>
      <c r="B21" s="491"/>
      <c r="C21" s="491"/>
    </row>
    <row r="22" spans="1:10" s="237" customFormat="1" ht="16.5" customHeight="1">
      <c r="A22" s="492" t="s">
        <v>681</v>
      </c>
      <c r="B22" s="492"/>
      <c r="C22" s="492"/>
    </row>
  </sheetData>
  <mergeCells count="77">
    <mergeCell ref="A22:C22"/>
    <mergeCell ref="F18:F19"/>
    <mergeCell ref="G18:G19"/>
    <mergeCell ref="H18:H19"/>
    <mergeCell ref="I18:I19"/>
    <mergeCell ref="J18:J19"/>
    <mergeCell ref="A21:C21"/>
    <mergeCell ref="F16:F17"/>
    <mergeCell ref="G16:G17"/>
    <mergeCell ref="H16:H17"/>
    <mergeCell ref="I16:I17"/>
    <mergeCell ref="J16:J17"/>
    <mergeCell ref="A18:A19"/>
    <mergeCell ref="B18:B19"/>
    <mergeCell ref="C18:C19"/>
    <mergeCell ref="D18:D19"/>
    <mergeCell ref="E18:E19"/>
    <mergeCell ref="A16:A17"/>
    <mergeCell ref="B16:B17"/>
    <mergeCell ref="C16:C17"/>
    <mergeCell ref="D16:D17"/>
    <mergeCell ref="E16:E17"/>
    <mergeCell ref="F12:F13"/>
    <mergeCell ref="G12:G13"/>
    <mergeCell ref="H12:H13"/>
    <mergeCell ref="I12:I13"/>
    <mergeCell ref="F14:F15"/>
    <mergeCell ref="G14:G15"/>
    <mergeCell ref="H14:H15"/>
    <mergeCell ref="I14:I15"/>
    <mergeCell ref="J12:J13"/>
    <mergeCell ref="A14:A15"/>
    <mergeCell ref="B14:B15"/>
    <mergeCell ref="C14:C15"/>
    <mergeCell ref="D14:D15"/>
    <mergeCell ref="E14:E15"/>
    <mergeCell ref="A12:A13"/>
    <mergeCell ref="B12:B13"/>
    <mergeCell ref="C12:C13"/>
    <mergeCell ref="D12:D13"/>
    <mergeCell ref="E12:E13"/>
    <mergeCell ref="J14:J15"/>
    <mergeCell ref="F10:F11"/>
    <mergeCell ref="G10:G11"/>
    <mergeCell ref="H10:H11"/>
    <mergeCell ref="I10:I11"/>
    <mergeCell ref="J10:J11"/>
    <mergeCell ref="F8:F9"/>
    <mergeCell ref="G8:G9"/>
    <mergeCell ref="H8:H9"/>
    <mergeCell ref="I8:I9"/>
    <mergeCell ref="J8:J9"/>
    <mergeCell ref="A10:A11"/>
    <mergeCell ref="B10:B11"/>
    <mergeCell ref="C10:C11"/>
    <mergeCell ref="D10:D11"/>
    <mergeCell ref="E10:E11"/>
    <mergeCell ref="I5:I7"/>
    <mergeCell ref="J5:J6"/>
    <mergeCell ref="E6:F6"/>
    <mergeCell ref="G6:G7"/>
    <mergeCell ref="H6:H7"/>
    <mergeCell ref="A8:A9"/>
    <mergeCell ref="B8:B9"/>
    <mergeCell ref="C8:C9"/>
    <mergeCell ref="D8:D9"/>
    <mergeCell ref="E8:E9"/>
    <mergeCell ref="A1:B3"/>
    <mergeCell ref="C1:H3"/>
    <mergeCell ref="I1:J1"/>
    <mergeCell ref="I2:J2"/>
    <mergeCell ref="I3:J3"/>
    <mergeCell ref="A5:A7"/>
    <mergeCell ref="B5:B7"/>
    <mergeCell ref="C5:C7"/>
    <mergeCell ref="D5:D7"/>
    <mergeCell ref="E5:H5"/>
  </mergeCells>
  <pageMargins left="0.7" right="0.7"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190E-0BAE-48F9-ACF5-83CAB2B6C50B}">
  <dimension ref="A1:J22"/>
  <sheetViews>
    <sheetView tabSelected="1" topLeftCell="A4" workbookViewId="0">
      <selection activeCell="I2" sqref="I2:J2"/>
    </sheetView>
  </sheetViews>
  <sheetFormatPr defaultColWidth="7.81640625" defaultRowHeight="13.8"/>
  <cols>
    <col min="1" max="1" width="6.08984375" style="155" customWidth="1"/>
    <col min="2" max="2" width="4.1796875" style="155" customWidth="1"/>
    <col min="3" max="3" width="6.08984375" style="155" customWidth="1"/>
    <col min="4" max="4" width="7.453125" style="155" customWidth="1"/>
    <col min="5" max="5" width="10.54296875" style="155" customWidth="1"/>
    <col min="6" max="6" width="12.1796875" style="155" customWidth="1"/>
    <col min="7" max="7" width="7.1796875" style="155" customWidth="1"/>
    <col min="8" max="8" width="6.36328125" style="155" customWidth="1"/>
    <col min="9" max="9" width="8.08984375" style="155" customWidth="1"/>
    <col min="10" max="10" width="8.1796875" style="155" customWidth="1"/>
    <col min="11" max="256" width="7.81640625" style="155"/>
    <col min="257" max="257" width="6.08984375" style="155" customWidth="1"/>
    <col min="258" max="258" width="4.1796875" style="155" customWidth="1"/>
    <col min="259" max="259" width="6.08984375" style="155" customWidth="1"/>
    <col min="260" max="260" width="7.453125" style="155" customWidth="1"/>
    <col min="261" max="261" width="10.54296875" style="155" customWidth="1"/>
    <col min="262" max="262" width="12.1796875" style="155" customWidth="1"/>
    <col min="263" max="263" width="7.1796875" style="155" customWidth="1"/>
    <col min="264" max="264" width="6.36328125" style="155" customWidth="1"/>
    <col min="265" max="265" width="8.08984375" style="155" customWidth="1"/>
    <col min="266" max="266" width="8.1796875" style="155" customWidth="1"/>
    <col min="267" max="512" width="7.81640625" style="155"/>
    <col min="513" max="513" width="6.08984375" style="155" customWidth="1"/>
    <col min="514" max="514" width="4.1796875" style="155" customWidth="1"/>
    <col min="515" max="515" width="6.08984375" style="155" customWidth="1"/>
    <col min="516" max="516" width="7.453125" style="155" customWidth="1"/>
    <col min="517" max="517" width="10.54296875" style="155" customWidth="1"/>
    <col min="518" max="518" width="12.1796875" style="155" customWidth="1"/>
    <col min="519" max="519" width="7.1796875" style="155" customWidth="1"/>
    <col min="520" max="520" width="6.36328125" style="155" customWidth="1"/>
    <col min="521" max="521" width="8.08984375" style="155" customWidth="1"/>
    <col min="522" max="522" width="8.1796875" style="155" customWidth="1"/>
    <col min="523" max="768" width="7.81640625" style="155"/>
    <col min="769" max="769" width="6.08984375" style="155" customWidth="1"/>
    <col min="770" max="770" width="4.1796875" style="155" customWidth="1"/>
    <col min="771" max="771" width="6.08984375" style="155" customWidth="1"/>
    <col min="772" max="772" width="7.453125" style="155" customWidth="1"/>
    <col min="773" max="773" width="10.54296875" style="155" customWidth="1"/>
    <col min="774" max="774" width="12.1796875" style="155" customWidth="1"/>
    <col min="775" max="775" width="7.1796875" style="155" customWidth="1"/>
    <col min="776" max="776" width="6.36328125" style="155" customWidth="1"/>
    <col min="777" max="777" width="8.08984375" style="155" customWidth="1"/>
    <col min="778" max="778" width="8.1796875" style="155" customWidth="1"/>
    <col min="779" max="1024" width="7.81640625" style="155"/>
    <col min="1025" max="1025" width="6.08984375" style="155" customWidth="1"/>
    <col min="1026" max="1026" width="4.1796875" style="155" customWidth="1"/>
    <col min="1027" max="1027" width="6.08984375" style="155" customWidth="1"/>
    <col min="1028" max="1028" width="7.453125" style="155" customWidth="1"/>
    <col min="1029" max="1029" width="10.54296875" style="155" customWidth="1"/>
    <col min="1030" max="1030" width="12.1796875" style="155" customWidth="1"/>
    <col min="1031" max="1031" width="7.1796875" style="155" customWidth="1"/>
    <col min="1032" max="1032" width="6.36328125" style="155" customWidth="1"/>
    <col min="1033" max="1033" width="8.08984375" style="155" customWidth="1"/>
    <col min="1034" max="1034" width="8.1796875" style="155" customWidth="1"/>
    <col min="1035" max="1280" width="7.81640625" style="155"/>
    <col min="1281" max="1281" width="6.08984375" style="155" customWidth="1"/>
    <col min="1282" max="1282" width="4.1796875" style="155" customWidth="1"/>
    <col min="1283" max="1283" width="6.08984375" style="155" customWidth="1"/>
    <col min="1284" max="1284" width="7.453125" style="155" customWidth="1"/>
    <col min="1285" max="1285" width="10.54296875" style="155" customWidth="1"/>
    <col min="1286" max="1286" width="12.1796875" style="155" customWidth="1"/>
    <col min="1287" max="1287" width="7.1796875" style="155" customWidth="1"/>
    <col min="1288" max="1288" width="6.36328125" style="155" customWidth="1"/>
    <col min="1289" max="1289" width="8.08984375" style="155" customWidth="1"/>
    <col min="1290" max="1290" width="8.1796875" style="155" customWidth="1"/>
    <col min="1291" max="1536" width="7.81640625" style="155"/>
    <col min="1537" max="1537" width="6.08984375" style="155" customWidth="1"/>
    <col min="1538" max="1538" width="4.1796875" style="155" customWidth="1"/>
    <col min="1539" max="1539" width="6.08984375" style="155" customWidth="1"/>
    <col min="1540" max="1540" width="7.453125" style="155" customWidth="1"/>
    <col min="1541" max="1541" width="10.54296875" style="155" customWidth="1"/>
    <col min="1542" max="1542" width="12.1796875" style="155" customWidth="1"/>
    <col min="1543" max="1543" width="7.1796875" style="155" customWidth="1"/>
    <col min="1544" max="1544" width="6.36328125" style="155" customWidth="1"/>
    <col min="1545" max="1545" width="8.08984375" style="155" customWidth="1"/>
    <col min="1546" max="1546" width="8.1796875" style="155" customWidth="1"/>
    <col min="1547" max="1792" width="7.81640625" style="155"/>
    <col min="1793" max="1793" width="6.08984375" style="155" customWidth="1"/>
    <col min="1794" max="1794" width="4.1796875" style="155" customWidth="1"/>
    <col min="1795" max="1795" width="6.08984375" style="155" customWidth="1"/>
    <col min="1796" max="1796" width="7.453125" style="155" customWidth="1"/>
    <col min="1797" max="1797" width="10.54296875" style="155" customWidth="1"/>
    <col min="1798" max="1798" width="12.1796875" style="155" customWidth="1"/>
    <col min="1799" max="1799" width="7.1796875" style="155" customWidth="1"/>
    <col min="1800" max="1800" width="6.36328125" style="155" customWidth="1"/>
    <col min="1801" max="1801" width="8.08984375" style="155" customWidth="1"/>
    <col min="1802" max="1802" width="8.1796875" style="155" customWidth="1"/>
    <col min="1803" max="2048" width="7.81640625" style="155"/>
    <col min="2049" max="2049" width="6.08984375" style="155" customWidth="1"/>
    <col min="2050" max="2050" width="4.1796875" style="155" customWidth="1"/>
    <col min="2051" max="2051" width="6.08984375" style="155" customWidth="1"/>
    <col min="2052" max="2052" width="7.453125" style="155" customWidth="1"/>
    <col min="2053" max="2053" width="10.54296875" style="155" customWidth="1"/>
    <col min="2054" max="2054" width="12.1796875" style="155" customWidth="1"/>
    <col min="2055" max="2055" width="7.1796875" style="155" customWidth="1"/>
    <col min="2056" max="2056" width="6.36328125" style="155" customWidth="1"/>
    <col min="2057" max="2057" width="8.08984375" style="155" customWidth="1"/>
    <col min="2058" max="2058" width="8.1796875" style="155" customWidth="1"/>
    <col min="2059" max="2304" width="7.81640625" style="155"/>
    <col min="2305" max="2305" width="6.08984375" style="155" customWidth="1"/>
    <col min="2306" max="2306" width="4.1796875" style="155" customWidth="1"/>
    <col min="2307" max="2307" width="6.08984375" style="155" customWidth="1"/>
    <col min="2308" max="2308" width="7.453125" style="155" customWidth="1"/>
    <col min="2309" max="2309" width="10.54296875" style="155" customWidth="1"/>
    <col min="2310" max="2310" width="12.1796875" style="155" customWidth="1"/>
    <col min="2311" max="2311" width="7.1796875" style="155" customWidth="1"/>
    <col min="2312" max="2312" width="6.36328125" style="155" customWidth="1"/>
    <col min="2313" max="2313" width="8.08984375" style="155" customWidth="1"/>
    <col min="2314" max="2314" width="8.1796875" style="155" customWidth="1"/>
    <col min="2315" max="2560" width="7.81640625" style="155"/>
    <col min="2561" max="2561" width="6.08984375" style="155" customWidth="1"/>
    <col min="2562" max="2562" width="4.1796875" style="155" customWidth="1"/>
    <col min="2563" max="2563" width="6.08984375" style="155" customWidth="1"/>
    <col min="2564" max="2564" width="7.453125" style="155" customWidth="1"/>
    <col min="2565" max="2565" width="10.54296875" style="155" customWidth="1"/>
    <col min="2566" max="2566" width="12.1796875" style="155" customWidth="1"/>
    <col min="2567" max="2567" width="7.1796875" style="155" customWidth="1"/>
    <col min="2568" max="2568" width="6.36328125" style="155" customWidth="1"/>
    <col min="2569" max="2569" width="8.08984375" style="155" customWidth="1"/>
    <col min="2570" max="2570" width="8.1796875" style="155" customWidth="1"/>
    <col min="2571" max="2816" width="7.81640625" style="155"/>
    <col min="2817" max="2817" width="6.08984375" style="155" customWidth="1"/>
    <col min="2818" max="2818" width="4.1796875" style="155" customWidth="1"/>
    <col min="2819" max="2819" width="6.08984375" style="155" customWidth="1"/>
    <col min="2820" max="2820" width="7.453125" style="155" customWidth="1"/>
    <col min="2821" max="2821" width="10.54296875" style="155" customWidth="1"/>
    <col min="2822" max="2822" width="12.1796875" style="155" customWidth="1"/>
    <col min="2823" max="2823" width="7.1796875" style="155" customWidth="1"/>
    <col min="2824" max="2824" width="6.36328125" style="155" customWidth="1"/>
    <col min="2825" max="2825" width="8.08984375" style="155" customWidth="1"/>
    <col min="2826" max="2826" width="8.1796875" style="155" customWidth="1"/>
    <col min="2827" max="3072" width="7.81640625" style="155"/>
    <col min="3073" max="3073" width="6.08984375" style="155" customWidth="1"/>
    <col min="3074" max="3074" width="4.1796875" style="155" customWidth="1"/>
    <col min="3075" max="3075" width="6.08984375" style="155" customWidth="1"/>
    <col min="3076" max="3076" width="7.453125" style="155" customWidth="1"/>
    <col min="3077" max="3077" width="10.54296875" style="155" customWidth="1"/>
    <col min="3078" max="3078" width="12.1796875" style="155" customWidth="1"/>
    <col min="3079" max="3079" width="7.1796875" style="155" customWidth="1"/>
    <col min="3080" max="3080" width="6.36328125" style="155" customWidth="1"/>
    <col min="3081" max="3081" width="8.08984375" style="155" customWidth="1"/>
    <col min="3082" max="3082" width="8.1796875" style="155" customWidth="1"/>
    <col min="3083" max="3328" width="7.81640625" style="155"/>
    <col min="3329" max="3329" width="6.08984375" style="155" customWidth="1"/>
    <col min="3330" max="3330" width="4.1796875" style="155" customWidth="1"/>
    <col min="3331" max="3331" width="6.08984375" style="155" customWidth="1"/>
    <col min="3332" max="3332" width="7.453125" style="155" customWidth="1"/>
    <col min="3333" max="3333" width="10.54296875" style="155" customWidth="1"/>
    <col min="3334" max="3334" width="12.1796875" style="155" customWidth="1"/>
    <col min="3335" max="3335" width="7.1796875" style="155" customWidth="1"/>
    <col min="3336" max="3336" width="6.36328125" style="155" customWidth="1"/>
    <col min="3337" max="3337" width="8.08984375" style="155" customWidth="1"/>
    <col min="3338" max="3338" width="8.1796875" style="155" customWidth="1"/>
    <col min="3339" max="3584" width="7.81640625" style="155"/>
    <col min="3585" max="3585" width="6.08984375" style="155" customWidth="1"/>
    <col min="3586" max="3586" width="4.1796875" style="155" customWidth="1"/>
    <col min="3587" max="3587" width="6.08984375" style="155" customWidth="1"/>
    <col min="3588" max="3588" width="7.453125" style="155" customWidth="1"/>
    <col min="3589" max="3589" width="10.54296875" style="155" customWidth="1"/>
    <col min="3590" max="3590" width="12.1796875" style="155" customWidth="1"/>
    <col min="3591" max="3591" width="7.1796875" style="155" customWidth="1"/>
    <col min="3592" max="3592" width="6.36328125" style="155" customWidth="1"/>
    <col min="3593" max="3593" width="8.08984375" style="155" customWidth="1"/>
    <col min="3594" max="3594" width="8.1796875" style="155" customWidth="1"/>
    <col min="3595" max="3840" width="7.81640625" style="155"/>
    <col min="3841" max="3841" width="6.08984375" style="155" customWidth="1"/>
    <col min="3842" max="3842" width="4.1796875" style="155" customWidth="1"/>
    <col min="3843" max="3843" width="6.08984375" style="155" customWidth="1"/>
    <col min="3844" max="3844" width="7.453125" style="155" customWidth="1"/>
    <col min="3845" max="3845" width="10.54296875" style="155" customWidth="1"/>
    <col min="3846" max="3846" width="12.1796875" style="155" customWidth="1"/>
    <col min="3847" max="3847" width="7.1796875" style="155" customWidth="1"/>
    <col min="3848" max="3848" width="6.36328125" style="155" customWidth="1"/>
    <col min="3849" max="3849" width="8.08984375" style="155" customWidth="1"/>
    <col min="3850" max="3850" width="8.1796875" style="155" customWidth="1"/>
    <col min="3851" max="4096" width="7.81640625" style="155"/>
    <col min="4097" max="4097" width="6.08984375" style="155" customWidth="1"/>
    <col min="4098" max="4098" width="4.1796875" style="155" customWidth="1"/>
    <col min="4099" max="4099" width="6.08984375" style="155" customWidth="1"/>
    <col min="4100" max="4100" width="7.453125" style="155" customWidth="1"/>
    <col min="4101" max="4101" width="10.54296875" style="155" customWidth="1"/>
    <col min="4102" max="4102" width="12.1796875" style="155" customWidth="1"/>
    <col min="4103" max="4103" width="7.1796875" style="155" customWidth="1"/>
    <col min="4104" max="4104" width="6.36328125" style="155" customWidth="1"/>
    <col min="4105" max="4105" width="8.08984375" style="155" customWidth="1"/>
    <col min="4106" max="4106" width="8.1796875" style="155" customWidth="1"/>
    <col min="4107" max="4352" width="7.81640625" style="155"/>
    <col min="4353" max="4353" width="6.08984375" style="155" customWidth="1"/>
    <col min="4354" max="4354" width="4.1796875" style="155" customWidth="1"/>
    <col min="4355" max="4355" width="6.08984375" style="155" customWidth="1"/>
    <col min="4356" max="4356" width="7.453125" style="155" customWidth="1"/>
    <col min="4357" max="4357" width="10.54296875" style="155" customWidth="1"/>
    <col min="4358" max="4358" width="12.1796875" style="155" customWidth="1"/>
    <col min="4359" max="4359" width="7.1796875" style="155" customWidth="1"/>
    <col min="4360" max="4360" width="6.36328125" style="155" customWidth="1"/>
    <col min="4361" max="4361" width="8.08984375" style="155" customWidth="1"/>
    <col min="4362" max="4362" width="8.1796875" style="155" customWidth="1"/>
    <col min="4363" max="4608" width="7.81640625" style="155"/>
    <col min="4609" max="4609" width="6.08984375" style="155" customWidth="1"/>
    <col min="4610" max="4610" width="4.1796875" style="155" customWidth="1"/>
    <col min="4611" max="4611" width="6.08984375" style="155" customWidth="1"/>
    <col min="4612" max="4612" width="7.453125" style="155" customWidth="1"/>
    <col min="4613" max="4613" width="10.54296875" style="155" customWidth="1"/>
    <col min="4614" max="4614" width="12.1796875" style="155" customWidth="1"/>
    <col min="4615" max="4615" width="7.1796875" style="155" customWidth="1"/>
    <col min="4616" max="4616" width="6.36328125" style="155" customWidth="1"/>
    <col min="4617" max="4617" width="8.08984375" style="155" customWidth="1"/>
    <col min="4618" max="4618" width="8.1796875" style="155" customWidth="1"/>
    <col min="4619" max="4864" width="7.81640625" style="155"/>
    <col min="4865" max="4865" width="6.08984375" style="155" customWidth="1"/>
    <col min="4866" max="4866" width="4.1796875" style="155" customWidth="1"/>
    <col min="4867" max="4867" width="6.08984375" style="155" customWidth="1"/>
    <col min="4868" max="4868" width="7.453125" style="155" customWidth="1"/>
    <col min="4869" max="4869" width="10.54296875" style="155" customWidth="1"/>
    <col min="4870" max="4870" width="12.1796875" style="155" customWidth="1"/>
    <col min="4871" max="4871" width="7.1796875" style="155" customWidth="1"/>
    <col min="4872" max="4872" width="6.36328125" style="155" customWidth="1"/>
    <col min="4873" max="4873" width="8.08984375" style="155" customWidth="1"/>
    <col min="4874" max="4874" width="8.1796875" style="155" customWidth="1"/>
    <col min="4875" max="5120" width="7.81640625" style="155"/>
    <col min="5121" max="5121" width="6.08984375" style="155" customWidth="1"/>
    <col min="5122" max="5122" width="4.1796875" style="155" customWidth="1"/>
    <col min="5123" max="5123" width="6.08984375" style="155" customWidth="1"/>
    <col min="5124" max="5124" width="7.453125" style="155" customWidth="1"/>
    <col min="5125" max="5125" width="10.54296875" style="155" customWidth="1"/>
    <col min="5126" max="5126" width="12.1796875" style="155" customWidth="1"/>
    <col min="5127" max="5127" width="7.1796875" style="155" customWidth="1"/>
    <col min="5128" max="5128" width="6.36328125" style="155" customWidth="1"/>
    <col min="5129" max="5129" width="8.08984375" style="155" customWidth="1"/>
    <col min="5130" max="5130" width="8.1796875" style="155" customWidth="1"/>
    <col min="5131" max="5376" width="7.81640625" style="155"/>
    <col min="5377" max="5377" width="6.08984375" style="155" customWidth="1"/>
    <col min="5378" max="5378" width="4.1796875" style="155" customWidth="1"/>
    <col min="5379" max="5379" width="6.08984375" style="155" customWidth="1"/>
    <col min="5380" max="5380" width="7.453125" style="155" customWidth="1"/>
    <col min="5381" max="5381" width="10.54296875" style="155" customWidth="1"/>
    <col min="5382" max="5382" width="12.1796875" style="155" customWidth="1"/>
    <col min="5383" max="5383" width="7.1796875" style="155" customWidth="1"/>
    <col min="5384" max="5384" width="6.36328125" style="155" customWidth="1"/>
    <col min="5385" max="5385" width="8.08984375" style="155" customWidth="1"/>
    <col min="5386" max="5386" width="8.1796875" style="155" customWidth="1"/>
    <col min="5387" max="5632" width="7.81640625" style="155"/>
    <col min="5633" max="5633" width="6.08984375" style="155" customWidth="1"/>
    <col min="5634" max="5634" width="4.1796875" style="155" customWidth="1"/>
    <col min="5635" max="5635" width="6.08984375" style="155" customWidth="1"/>
    <col min="5636" max="5636" width="7.453125" style="155" customWidth="1"/>
    <col min="5637" max="5637" width="10.54296875" style="155" customWidth="1"/>
    <col min="5638" max="5638" width="12.1796875" style="155" customWidth="1"/>
    <col min="5639" max="5639" width="7.1796875" style="155" customWidth="1"/>
    <col min="5640" max="5640" width="6.36328125" style="155" customWidth="1"/>
    <col min="5641" max="5641" width="8.08984375" style="155" customWidth="1"/>
    <col min="5642" max="5642" width="8.1796875" style="155" customWidth="1"/>
    <col min="5643" max="5888" width="7.81640625" style="155"/>
    <col min="5889" max="5889" width="6.08984375" style="155" customWidth="1"/>
    <col min="5890" max="5890" width="4.1796875" style="155" customWidth="1"/>
    <col min="5891" max="5891" width="6.08984375" style="155" customWidth="1"/>
    <col min="5892" max="5892" width="7.453125" style="155" customWidth="1"/>
    <col min="5893" max="5893" width="10.54296875" style="155" customWidth="1"/>
    <col min="5894" max="5894" width="12.1796875" style="155" customWidth="1"/>
    <col min="5895" max="5895" width="7.1796875" style="155" customWidth="1"/>
    <col min="5896" max="5896" width="6.36328125" style="155" customWidth="1"/>
    <col min="5897" max="5897" width="8.08984375" style="155" customWidth="1"/>
    <col min="5898" max="5898" width="8.1796875" style="155" customWidth="1"/>
    <col min="5899" max="6144" width="7.81640625" style="155"/>
    <col min="6145" max="6145" width="6.08984375" style="155" customWidth="1"/>
    <col min="6146" max="6146" width="4.1796875" style="155" customWidth="1"/>
    <col min="6147" max="6147" width="6.08984375" style="155" customWidth="1"/>
    <col min="6148" max="6148" width="7.453125" style="155" customWidth="1"/>
    <col min="6149" max="6149" width="10.54296875" style="155" customWidth="1"/>
    <col min="6150" max="6150" width="12.1796875" style="155" customWidth="1"/>
    <col min="6151" max="6151" width="7.1796875" style="155" customWidth="1"/>
    <col min="6152" max="6152" width="6.36328125" style="155" customWidth="1"/>
    <col min="6153" max="6153" width="8.08984375" style="155" customWidth="1"/>
    <col min="6154" max="6154" width="8.1796875" style="155" customWidth="1"/>
    <col min="6155" max="6400" width="7.81640625" style="155"/>
    <col min="6401" max="6401" width="6.08984375" style="155" customWidth="1"/>
    <col min="6402" max="6402" width="4.1796875" style="155" customWidth="1"/>
    <col min="6403" max="6403" width="6.08984375" style="155" customWidth="1"/>
    <col min="6404" max="6404" width="7.453125" style="155" customWidth="1"/>
    <col min="6405" max="6405" width="10.54296875" style="155" customWidth="1"/>
    <col min="6406" max="6406" width="12.1796875" style="155" customWidth="1"/>
    <col min="6407" max="6407" width="7.1796875" style="155" customWidth="1"/>
    <col min="6408" max="6408" width="6.36328125" style="155" customWidth="1"/>
    <col min="6409" max="6409" width="8.08984375" style="155" customWidth="1"/>
    <col min="6410" max="6410" width="8.1796875" style="155" customWidth="1"/>
    <col min="6411" max="6656" width="7.81640625" style="155"/>
    <col min="6657" max="6657" width="6.08984375" style="155" customWidth="1"/>
    <col min="6658" max="6658" width="4.1796875" style="155" customWidth="1"/>
    <col min="6659" max="6659" width="6.08984375" style="155" customWidth="1"/>
    <col min="6660" max="6660" width="7.453125" style="155" customWidth="1"/>
    <col min="6661" max="6661" width="10.54296875" style="155" customWidth="1"/>
    <col min="6662" max="6662" width="12.1796875" style="155" customWidth="1"/>
    <col min="6663" max="6663" width="7.1796875" style="155" customWidth="1"/>
    <col min="6664" max="6664" width="6.36328125" style="155" customWidth="1"/>
    <col min="6665" max="6665" width="8.08984375" style="155" customWidth="1"/>
    <col min="6666" max="6666" width="8.1796875" style="155" customWidth="1"/>
    <col min="6667" max="6912" width="7.81640625" style="155"/>
    <col min="6913" max="6913" width="6.08984375" style="155" customWidth="1"/>
    <col min="6914" max="6914" width="4.1796875" style="155" customWidth="1"/>
    <col min="6915" max="6915" width="6.08984375" style="155" customWidth="1"/>
    <col min="6916" max="6916" width="7.453125" style="155" customWidth="1"/>
    <col min="6917" max="6917" width="10.54296875" style="155" customWidth="1"/>
    <col min="6918" max="6918" width="12.1796875" style="155" customWidth="1"/>
    <col min="6919" max="6919" width="7.1796875" style="155" customWidth="1"/>
    <col min="6920" max="6920" width="6.36328125" style="155" customWidth="1"/>
    <col min="6921" max="6921" width="8.08984375" style="155" customWidth="1"/>
    <col min="6922" max="6922" width="8.1796875" style="155" customWidth="1"/>
    <col min="6923" max="7168" width="7.81640625" style="155"/>
    <col min="7169" max="7169" width="6.08984375" style="155" customWidth="1"/>
    <col min="7170" max="7170" width="4.1796875" style="155" customWidth="1"/>
    <col min="7171" max="7171" width="6.08984375" style="155" customWidth="1"/>
    <col min="7172" max="7172" width="7.453125" style="155" customWidth="1"/>
    <col min="7173" max="7173" width="10.54296875" style="155" customWidth="1"/>
    <col min="7174" max="7174" width="12.1796875" style="155" customWidth="1"/>
    <col min="7175" max="7175" width="7.1796875" style="155" customWidth="1"/>
    <col min="7176" max="7176" width="6.36328125" style="155" customWidth="1"/>
    <col min="7177" max="7177" width="8.08984375" style="155" customWidth="1"/>
    <col min="7178" max="7178" width="8.1796875" style="155" customWidth="1"/>
    <col min="7179" max="7424" width="7.81640625" style="155"/>
    <col min="7425" max="7425" width="6.08984375" style="155" customWidth="1"/>
    <col min="7426" max="7426" width="4.1796875" style="155" customWidth="1"/>
    <col min="7427" max="7427" width="6.08984375" style="155" customWidth="1"/>
    <col min="7428" max="7428" width="7.453125" style="155" customWidth="1"/>
    <col min="7429" max="7429" width="10.54296875" style="155" customWidth="1"/>
    <col min="7430" max="7430" width="12.1796875" style="155" customWidth="1"/>
    <col min="7431" max="7431" width="7.1796875" style="155" customWidth="1"/>
    <col min="7432" max="7432" width="6.36328125" style="155" customWidth="1"/>
    <col min="7433" max="7433" width="8.08984375" style="155" customWidth="1"/>
    <col min="7434" max="7434" width="8.1796875" style="155" customWidth="1"/>
    <col min="7435" max="7680" width="7.81640625" style="155"/>
    <col min="7681" max="7681" width="6.08984375" style="155" customWidth="1"/>
    <col min="7682" max="7682" width="4.1796875" style="155" customWidth="1"/>
    <col min="7683" max="7683" width="6.08984375" style="155" customWidth="1"/>
    <col min="7684" max="7684" width="7.453125" style="155" customWidth="1"/>
    <col min="7685" max="7685" width="10.54296875" style="155" customWidth="1"/>
    <col min="7686" max="7686" width="12.1796875" style="155" customWidth="1"/>
    <col min="7687" max="7687" width="7.1796875" style="155" customWidth="1"/>
    <col min="7688" max="7688" width="6.36328125" style="155" customWidth="1"/>
    <col min="7689" max="7689" width="8.08984375" style="155" customWidth="1"/>
    <col min="7690" max="7690" width="8.1796875" style="155" customWidth="1"/>
    <col min="7691" max="7936" width="7.81640625" style="155"/>
    <col min="7937" max="7937" width="6.08984375" style="155" customWidth="1"/>
    <col min="7938" max="7938" width="4.1796875" style="155" customWidth="1"/>
    <col min="7939" max="7939" width="6.08984375" style="155" customWidth="1"/>
    <col min="7940" max="7940" width="7.453125" style="155" customWidth="1"/>
    <col min="7941" max="7941" width="10.54296875" style="155" customWidth="1"/>
    <col min="7942" max="7942" width="12.1796875" style="155" customWidth="1"/>
    <col min="7943" max="7943" width="7.1796875" style="155" customWidth="1"/>
    <col min="7944" max="7944" width="6.36328125" style="155" customWidth="1"/>
    <col min="7945" max="7945" width="8.08984375" style="155" customWidth="1"/>
    <col min="7946" max="7946" width="8.1796875" style="155" customWidth="1"/>
    <col min="7947" max="8192" width="7.81640625" style="155"/>
    <col min="8193" max="8193" width="6.08984375" style="155" customWidth="1"/>
    <col min="8194" max="8194" width="4.1796875" style="155" customWidth="1"/>
    <col min="8195" max="8195" width="6.08984375" style="155" customWidth="1"/>
    <col min="8196" max="8196" width="7.453125" style="155" customWidth="1"/>
    <col min="8197" max="8197" width="10.54296875" style="155" customWidth="1"/>
    <col min="8198" max="8198" width="12.1796875" style="155" customWidth="1"/>
    <col min="8199" max="8199" width="7.1796875" style="155" customWidth="1"/>
    <col min="8200" max="8200" width="6.36328125" style="155" customWidth="1"/>
    <col min="8201" max="8201" width="8.08984375" style="155" customWidth="1"/>
    <col min="8202" max="8202" width="8.1796875" style="155" customWidth="1"/>
    <col min="8203" max="8448" width="7.81640625" style="155"/>
    <col min="8449" max="8449" width="6.08984375" style="155" customWidth="1"/>
    <col min="8450" max="8450" width="4.1796875" style="155" customWidth="1"/>
    <col min="8451" max="8451" width="6.08984375" style="155" customWidth="1"/>
    <col min="8452" max="8452" width="7.453125" style="155" customWidth="1"/>
    <col min="8453" max="8453" width="10.54296875" style="155" customWidth="1"/>
    <col min="8454" max="8454" width="12.1796875" style="155" customWidth="1"/>
    <col min="8455" max="8455" width="7.1796875" style="155" customWidth="1"/>
    <col min="8456" max="8456" width="6.36328125" style="155" customWidth="1"/>
    <col min="8457" max="8457" width="8.08984375" style="155" customWidth="1"/>
    <col min="8458" max="8458" width="8.1796875" style="155" customWidth="1"/>
    <col min="8459" max="8704" width="7.81640625" style="155"/>
    <col min="8705" max="8705" width="6.08984375" style="155" customWidth="1"/>
    <col min="8706" max="8706" width="4.1796875" style="155" customWidth="1"/>
    <col min="8707" max="8707" width="6.08984375" style="155" customWidth="1"/>
    <col min="8708" max="8708" width="7.453125" style="155" customWidth="1"/>
    <col min="8709" max="8709" width="10.54296875" style="155" customWidth="1"/>
    <col min="8710" max="8710" width="12.1796875" style="155" customWidth="1"/>
    <col min="8711" max="8711" width="7.1796875" style="155" customWidth="1"/>
    <col min="8712" max="8712" width="6.36328125" style="155" customWidth="1"/>
    <col min="8713" max="8713" width="8.08984375" style="155" customWidth="1"/>
    <col min="8714" max="8714" width="8.1796875" style="155" customWidth="1"/>
    <col min="8715" max="8960" width="7.81640625" style="155"/>
    <col min="8961" max="8961" width="6.08984375" style="155" customWidth="1"/>
    <col min="8962" max="8962" width="4.1796875" style="155" customWidth="1"/>
    <col min="8963" max="8963" width="6.08984375" style="155" customWidth="1"/>
    <col min="8964" max="8964" width="7.453125" style="155" customWidth="1"/>
    <col min="8965" max="8965" width="10.54296875" style="155" customWidth="1"/>
    <col min="8966" max="8966" width="12.1796875" style="155" customWidth="1"/>
    <col min="8967" max="8967" width="7.1796875" style="155" customWidth="1"/>
    <col min="8968" max="8968" width="6.36328125" style="155" customWidth="1"/>
    <col min="8969" max="8969" width="8.08984375" style="155" customWidth="1"/>
    <col min="8970" max="8970" width="8.1796875" style="155" customWidth="1"/>
    <col min="8971" max="9216" width="7.81640625" style="155"/>
    <col min="9217" max="9217" width="6.08984375" style="155" customWidth="1"/>
    <col min="9218" max="9218" width="4.1796875" style="155" customWidth="1"/>
    <col min="9219" max="9219" width="6.08984375" style="155" customWidth="1"/>
    <col min="9220" max="9220" width="7.453125" style="155" customWidth="1"/>
    <col min="9221" max="9221" width="10.54296875" style="155" customWidth="1"/>
    <col min="9222" max="9222" width="12.1796875" style="155" customWidth="1"/>
    <col min="9223" max="9223" width="7.1796875" style="155" customWidth="1"/>
    <col min="9224" max="9224" width="6.36328125" style="155" customWidth="1"/>
    <col min="9225" max="9225" width="8.08984375" style="155" customWidth="1"/>
    <col min="9226" max="9226" width="8.1796875" style="155" customWidth="1"/>
    <col min="9227" max="9472" width="7.81640625" style="155"/>
    <col min="9473" max="9473" width="6.08984375" style="155" customWidth="1"/>
    <col min="9474" max="9474" width="4.1796875" style="155" customWidth="1"/>
    <col min="9475" max="9475" width="6.08984375" style="155" customWidth="1"/>
    <col min="9476" max="9476" width="7.453125" style="155" customWidth="1"/>
    <col min="9477" max="9477" width="10.54296875" style="155" customWidth="1"/>
    <col min="9478" max="9478" width="12.1796875" style="155" customWidth="1"/>
    <col min="9479" max="9479" width="7.1796875" style="155" customWidth="1"/>
    <col min="9480" max="9480" width="6.36328125" style="155" customWidth="1"/>
    <col min="9481" max="9481" width="8.08984375" style="155" customWidth="1"/>
    <col min="9482" max="9482" width="8.1796875" style="155" customWidth="1"/>
    <col min="9483" max="9728" width="7.81640625" style="155"/>
    <col min="9729" max="9729" width="6.08984375" style="155" customWidth="1"/>
    <col min="9730" max="9730" width="4.1796875" style="155" customWidth="1"/>
    <col min="9731" max="9731" width="6.08984375" style="155" customWidth="1"/>
    <col min="9732" max="9732" width="7.453125" style="155" customWidth="1"/>
    <col min="9733" max="9733" width="10.54296875" style="155" customWidth="1"/>
    <col min="9734" max="9734" width="12.1796875" style="155" customWidth="1"/>
    <col min="9735" max="9735" width="7.1796875" style="155" customWidth="1"/>
    <col min="9736" max="9736" width="6.36328125" style="155" customWidth="1"/>
    <col min="9737" max="9737" width="8.08984375" style="155" customWidth="1"/>
    <col min="9738" max="9738" width="8.1796875" style="155" customWidth="1"/>
    <col min="9739" max="9984" width="7.81640625" style="155"/>
    <col min="9985" max="9985" width="6.08984375" style="155" customWidth="1"/>
    <col min="9986" max="9986" width="4.1796875" style="155" customWidth="1"/>
    <col min="9987" max="9987" width="6.08984375" style="155" customWidth="1"/>
    <col min="9988" max="9988" width="7.453125" style="155" customWidth="1"/>
    <col min="9989" max="9989" width="10.54296875" style="155" customWidth="1"/>
    <col min="9990" max="9990" width="12.1796875" style="155" customWidth="1"/>
    <col min="9991" max="9991" width="7.1796875" style="155" customWidth="1"/>
    <col min="9992" max="9992" width="6.36328125" style="155" customWidth="1"/>
    <col min="9993" max="9993" width="8.08984375" style="155" customWidth="1"/>
    <col min="9994" max="9994" width="8.1796875" style="155" customWidth="1"/>
    <col min="9995" max="10240" width="7.81640625" style="155"/>
    <col min="10241" max="10241" width="6.08984375" style="155" customWidth="1"/>
    <col min="10242" max="10242" width="4.1796875" style="155" customWidth="1"/>
    <col min="10243" max="10243" width="6.08984375" style="155" customWidth="1"/>
    <col min="10244" max="10244" width="7.453125" style="155" customWidth="1"/>
    <col min="10245" max="10245" width="10.54296875" style="155" customWidth="1"/>
    <col min="10246" max="10246" width="12.1796875" style="155" customWidth="1"/>
    <col min="10247" max="10247" width="7.1796875" style="155" customWidth="1"/>
    <col min="10248" max="10248" width="6.36328125" style="155" customWidth="1"/>
    <col min="10249" max="10249" width="8.08984375" style="155" customWidth="1"/>
    <col min="10250" max="10250" width="8.1796875" style="155" customWidth="1"/>
    <col min="10251" max="10496" width="7.81640625" style="155"/>
    <col min="10497" max="10497" width="6.08984375" style="155" customWidth="1"/>
    <col min="10498" max="10498" width="4.1796875" style="155" customWidth="1"/>
    <col min="10499" max="10499" width="6.08984375" style="155" customWidth="1"/>
    <col min="10500" max="10500" width="7.453125" style="155" customWidth="1"/>
    <col min="10501" max="10501" width="10.54296875" style="155" customWidth="1"/>
    <col min="10502" max="10502" width="12.1796875" style="155" customWidth="1"/>
    <col min="10503" max="10503" width="7.1796875" style="155" customWidth="1"/>
    <col min="10504" max="10504" width="6.36328125" style="155" customWidth="1"/>
    <col min="10505" max="10505" width="8.08984375" style="155" customWidth="1"/>
    <col min="10506" max="10506" width="8.1796875" style="155" customWidth="1"/>
    <col min="10507" max="10752" width="7.81640625" style="155"/>
    <col min="10753" max="10753" width="6.08984375" style="155" customWidth="1"/>
    <col min="10754" max="10754" width="4.1796875" style="155" customWidth="1"/>
    <col min="10755" max="10755" width="6.08984375" style="155" customWidth="1"/>
    <col min="10756" max="10756" width="7.453125" style="155" customWidth="1"/>
    <col min="10757" max="10757" width="10.54296875" style="155" customWidth="1"/>
    <col min="10758" max="10758" width="12.1796875" style="155" customWidth="1"/>
    <col min="10759" max="10759" width="7.1796875" style="155" customWidth="1"/>
    <col min="10760" max="10760" width="6.36328125" style="155" customWidth="1"/>
    <col min="10761" max="10761" width="8.08984375" style="155" customWidth="1"/>
    <col min="10762" max="10762" width="8.1796875" style="155" customWidth="1"/>
    <col min="10763" max="11008" width="7.81640625" style="155"/>
    <col min="11009" max="11009" width="6.08984375" style="155" customWidth="1"/>
    <col min="11010" max="11010" width="4.1796875" style="155" customWidth="1"/>
    <col min="11011" max="11011" width="6.08984375" style="155" customWidth="1"/>
    <col min="11012" max="11012" width="7.453125" style="155" customWidth="1"/>
    <col min="11013" max="11013" width="10.54296875" style="155" customWidth="1"/>
    <col min="11014" max="11014" width="12.1796875" style="155" customWidth="1"/>
    <col min="11015" max="11015" width="7.1796875" style="155" customWidth="1"/>
    <col min="11016" max="11016" width="6.36328125" style="155" customWidth="1"/>
    <col min="11017" max="11017" width="8.08984375" style="155" customWidth="1"/>
    <col min="11018" max="11018" width="8.1796875" style="155" customWidth="1"/>
    <col min="11019" max="11264" width="7.81640625" style="155"/>
    <col min="11265" max="11265" width="6.08984375" style="155" customWidth="1"/>
    <col min="11266" max="11266" width="4.1796875" style="155" customWidth="1"/>
    <col min="11267" max="11267" width="6.08984375" style="155" customWidth="1"/>
    <col min="11268" max="11268" width="7.453125" style="155" customWidth="1"/>
    <col min="11269" max="11269" width="10.54296875" style="155" customWidth="1"/>
    <col min="11270" max="11270" width="12.1796875" style="155" customWidth="1"/>
    <col min="11271" max="11271" width="7.1796875" style="155" customWidth="1"/>
    <col min="11272" max="11272" width="6.36328125" style="155" customWidth="1"/>
    <col min="11273" max="11273" width="8.08984375" style="155" customWidth="1"/>
    <col min="11274" max="11274" width="8.1796875" style="155" customWidth="1"/>
    <col min="11275" max="11520" width="7.81640625" style="155"/>
    <col min="11521" max="11521" width="6.08984375" style="155" customWidth="1"/>
    <col min="11522" max="11522" width="4.1796875" style="155" customWidth="1"/>
    <col min="11523" max="11523" width="6.08984375" style="155" customWidth="1"/>
    <col min="11524" max="11524" width="7.453125" style="155" customWidth="1"/>
    <col min="11525" max="11525" width="10.54296875" style="155" customWidth="1"/>
    <col min="11526" max="11526" width="12.1796875" style="155" customWidth="1"/>
    <col min="11527" max="11527" width="7.1796875" style="155" customWidth="1"/>
    <col min="11528" max="11528" width="6.36328125" style="155" customWidth="1"/>
    <col min="11529" max="11529" width="8.08984375" style="155" customWidth="1"/>
    <col min="11530" max="11530" width="8.1796875" style="155" customWidth="1"/>
    <col min="11531" max="11776" width="7.81640625" style="155"/>
    <col min="11777" max="11777" width="6.08984375" style="155" customWidth="1"/>
    <col min="11778" max="11778" width="4.1796875" style="155" customWidth="1"/>
    <col min="11779" max="11779" width="6.08984375" style="155" customWidth="1"/>
    <col min="11780" max="11780" width="7.453125" style="155" customWidth="1"/>
    <col min="11781" max="11781" width="10.54296875" style="155" customWidth="1"/>
    <col min="11782" max="11782" width="12.1796875" style="155" customWidth="1"/>
    <col min="11783" max="11783" width="7.1796875" style="155" customWidth="1"/>
    <col min="11784" max="11784" width="6.36328125" style="155" customWidth="1"/>
    <col min="11785" max="11785" width="8.08984375" style="155" customWidth="1"/>
    <col min="11786" max="11786" width="8.1796875" style="155" customWidth="1"/>
    <col min="11787" max="12032" width="7.81640625" style="155"/>
    <col min="12033" max="12033" width="6.08984375" style="155" customWidth="1"/>
    <col min="12034" max="12034" width="4.1796875" style="155" customWidth="1"/>
    <col min="12035" max="12035" width="6.08984375" style="155" customWidth="1"/>
    <col min="12036" max="12036" width="7.453125" style="155" customWidth="1"/>
    <col min="12037" max="12037" width="10.54296875" style="155" customWidth="1"/>
    <col min="12038" max="12038" width="12.1796875" style="155" customWidth="1"/>
    <col min="12039" max="12039" width="7.1796875" style="155" customWidth="1"/>
    <col min="12040" max="12040" width="6.36328125" style="155" customWidth="1"/>
    <col min="12041" max="12041" width="8.08984375" style="155" customWidth="1"/>
    <col min="12042" max="12042" width="8.1796875" style="155" customWidth="1"/>
    <col min="12043" max="12288" width="7.81640625" style="155"/>
    <col min="12289" max="12289" width="6.08984375" style="155" customWidth="1"/>
    <col min="12290" max="12290" width="4.1796875" style="155" customWidth="1"/>
    <col min="12291" max="12291" width="6.08984375" style="155" customWidth="1"/>
    <col min="12292" max="12292" width="7.453125" style="155" customWidth="1"/>
    <col min="12293" max="12293" width="10.54296875" style="155" customWidth="1"/>
    <col min="12294" max="12294" width="12.1796875" style="155" customWidth="1"/>
    <col min="12295" max="12295" width="7.1796875" style="155" customWidth="1"/>
    <col min="12296" max="12296" width="6.36328125" style="155" customWidth="1"/>
    <col min="12297" max="12297" width="8.08984375" style="155" customWidth="1"/>
    <col min="12298" max="12298" width="8.1796875" style="155" customWidth="1"/>
    <col min="12299" max="12544" width="7.81640625" style="155"/>
    <col min="12545" max="12545" width="6.08984375" style="155" customWidth="1"/>
    <col min="12546" max="12546" width="4.1796875" style="155" customWidth="1"/>
    <col min="12547" max="12547" width="6.08984375" style="155" customWidth="1"/>
    <col min="12548" max="12548" width="7.453125" style="155" customWidth="1"/>
    <col min="12549" max="12549" width="10.54296875" style="155" customWidth="1"/>
    <col min="12550" max="12550" width="12.1796875" style="155" customWidth="1"/>
    <col min="12551" max="12551" width="7.1796875" style="155" customWidth="1"/>
    <col min="12552" max="12552" width="6.36328125" style="155" customWidth="1"/>
    <col min="12553" max="12553" width="8.08984375" style="155" customWidth="1"/>
    <col min="12554" max="12554" width="8.1796875" style="155" customWidth="1"/>
    <col min="12555" max="12800" width="7.81640625" style="155"/>
    <col min="12801" max="12801" width="6.08984375" style="155" customWidth="1"/>
    <col min="12802" max="12802" width="4.1796875" style="155" customWidth="1"/>
    <col min="12803" max="12803" width="6.08984375" style="155" customWidth="1"/>
    <col min="12804" max="12804" width="7.453125" style="155" customWidth="1"/>
    <col min="12805" max="12805" width="10.54296875" style="155" customWidth="1"/>
    <col min="12806" max="12806" width="12.1796875" style="155" customWidth="1"/>
    <col min="12807" max="12807" width="7.1796875" style="155" customWidth="1"/>
    <col min="12808" max="12808" width="6.36328125" style="155" customWidth="1"/>
    <col min="12809" max="12809" width="8.08984375" style="155" customWidth="1"/>
    <col min="12810" max="12810" width="8.1796875" style="155" customWidth="1"/>
    <col min="12811" max="13056" width="7.81640625" style="155"/>
    <col min="13057" max="13057" width="6.08984375" style="155" customWidth="1"/>
    <col min="13058" max="13058" width="4.1796875" style="155" customWidth="1"/>
    <col min="13059" max="13059" width="6.08984375" style="155" customWidth="1"/>
    <col min="13060" max="13060" width="7.453125" style="155" customWidth="1"/>
    <col min="13061" max="13061" width="10.54296875" style="155" customWidth="1"/>
    <col min="13062" max="13062" width="12.1796875" style="155" customWidth="1"/>
    <col min="13063" max="13063" width="7.1796875" style="155" customWidth="1"/>
    <col min="13064" max="13064" width="6.36328125" style="155" customWidth="1"/>
    <col min="13065" max="13065" width="8.08984375" style="155" customWidth="1"/>
    <col min="13066" max="13066" width="8.1796875" style="155" customWidth="1"/>
    <col min="13067" max="13312" width="7.81640625" style="155"/>
    <col min="13313" max="13313" width="6.08984375" style="155" customWidth="1"/>
    <col min="13314" max="13314" width="4.1796875" style="155" customWidth="1"/>
    <col min="13315" max="13315" width="6.08984375" style="155" customWidth="1"/>
    <col min="13316" max="13316" width="7.453125" style="155" customWidth="1"/>
    <col min="13317" max="13317" width="10.54296875" style="155" customWidth="1"/>
    <col min="13318" max="13318" width="12.1796875" style="155" customWidth="1"/>
    <col min="13319" max="13319" width="7.1796875" style="155" customWidth="1"/>
    <col min="13320" max="13320" width="6.36328125" style="155" customWidth="1"/>
    <col min="13321" max="13321" width="8.08984375" style="155" customWidth="1"/>
    <col min="13322" max="13322" width="8.1796875" style="155" customWidth="1"/>
    <col min="13323" max="13568" width="7.81640625" style="155"/>
    <col min="13569" max="13569" width="6.08984375" style="155" customWidth="1"/>
    <col min="13570" max="13570" width="4.1796875" style="155" customWidth="1"/>
    <col min="13571" max="13571" width="6.08984375" style="155" customWidth="1"/>
    <col min="13572" max="13572" width="7.453125" style="155" customWidth="1"/>
    <col min="13573" max="13573" width="10.54296875" style="155" customWidth="1"/>
    <col min="13574" max="13574" width="12.1796875" style="155" customWidth="1"/>
    <col min="13575" max="13575" width="7.1796875" style="155" customWidth="1"/>
    <col min="13576" max="13576" width="6.36328125" style="155" customWidth="1"/>
    <col min="13577" max="13577" width="8.08984375" style="155" customWidth="1"/>
    <col min="13578" max="13578" width="8.1796875" style="155" customWidth="1"/>
    <col min="13579" max="13824" width="7.81640625" style="155"/>
    <col min="13825" max="13825" width="6.08984375" style="155" customWidth="1"/>
    <col min="13826" max="13826" width="4.1796875" style="155" customWidth="1"/>
    <col min="13827" max="13827" width="6.08984375" style="155" customWidth="1"/>
    <col min="13828" max="13828" width="7.453125" style="155" customWidth="1"/>
    <col min="13829" max="13829" width="10.54296875" style="155" customWidth="1"/>
    <col min="13830" max="13830" width="12.1796875" style="155" customWidth="1"/>
    <col min="13831" max="13831" width="7.1796875" style="155" customWidth="1"/>
    <col min="13832" max="13832" width="6.36328125" style="155" customWidth="1"/>
    <col min="13833" max="13833" width="8.08984375" style="155" customWidth="1"/>
    <col min="13834" max="13834" width="8.1796875" style="155" customWidth="1"/>
    <col min="13835" max="14080" width="7.81640625" style="155"/>
    <col min="14081" max="14081" width="6.08984375" style="155" customWidth="1"/>
    <col min="14082" max="14082" width="4.1796875" style="155" customWidth="1"/>
    <col min="14083" max="14083" width="6.08984375" style="155" customWidth="1"/>
    <col min="14084" max="14084" width="7.453125" style="155" customWidth="1"/>
    <col min="14085" max="14085" width="10.54296875" style="155" customWidth="1"/>
    <col min="14086" max="14086" width="12.1796875" style="155" customWidth="1"/>
    <col min="14087" max="14087" width="7.1796875" style="155" customWidth="1"/>
    <col min="14088" max="14088" width="6.36328125" style="155" customWidth="1"/>
    <col min="14089" max="14089" width="8.08984375" style="155" customWidth="1"/>
    <col min="14090" max="14090" width="8.1796875" style="155" customWidth="1"/>
    <col min="14091" max="14336" width="7.81640625" style="155"/>
    <col min="14337" max="14337" width="6.08984375" style="155" customWidth="1"/>
    <col min="14338" max="14338" width="4.1796875" style="155" customWidth="1"/>
    <col min="14339" max="14339" width="6.08984375" style="155" customWidth="1"/>
    <col min="14340" max="14340" width="7.453125" style="155" customWidth="1"/>
    <col min="14341" max="14341" width="10.54296875" style="155" customWidth="1"/>
    <col min="14342" max="14342" width="12.1796875" style="155" customWidth="1"/>
    <col min="14343" max="14343" width="7.1796875" style="155" customWidth="1"/>
    <col min="14344" max="14344" width="6.36328125" style="155" customWidth="1"/>
    <col min="14345" max="14345" width="8.08984375" style="155" customWidth="1"/>
    <col min="14346" max="14346" width="8.1796875" style="155" customWidth="1"/>
    <col min="14347" max="14592" width="7.81640625" style="155"/>
    <col min="14593" max="14593" width="6.08984375" style="155" customWidth="1"/>
    <col min="14594" max="14594" width="4.1796875" style="155" customWidth="1"/>
    <col min="14595" max="14595" width="6.08984375" style="155" customWidth="1"/>
    <col min="14596" max="14596" width="7.453125" style="155" customWidth="1"/>
    <col min="14597" max="14597" width="10.54296875" style="155" customWidth="1"/>
    <col min="14598" max="14598" width="12.1796875" style="155" customWidth="1"/>
    <col min="14599" max="14599" width="7.1796875" style="155" customWidth="1"/>
    <col min="14600" max="14600" width="6.36328125" style="155" customWidth="1"/>
    <col min="14601" max="14601" width="8.08984375" style="155" customWidth="1"/>
    <col min="14602" max="14602" width="8.1796875" style="155" customWidth="1"/>
    <col min="14603" max="14848" width="7.81640625" style="155"/>
    <col min="14849" max="14849" width="6.08984375" style="155" customWidth="1"/>
    <col min="14850" max="14850" width="4.1796875" style="155" customWidth="1"/>
    <col min="14851" max="14851" width="6.08984375" style="155" customWidth="1"/>
    <col min="14852" max="14852" width="7.453125" style="155" customWidth="1"/>
    <col min="14853" max="14853" width="10.54296875" style="155" customWidth="1"/>
    <col min="14854" max="14854" width="12.1796875" style="155" customWidth="1"/>
    <col min="14855" max="14855" width="7.1796875" style="155" customWidth="1"/>
    <col min="14856" max="14856" width="6.36328125" style="155" customWidth="1"/>
    <col min="14857" max="14857" width="8.08984375" style="155" customWidth="1"/>
    <col min="14858" max="14858" width="8.1796875" style="155" customWidth="1"/>
    <col min="14859" max="15104" width="7.81640625" style="155"/>
    <col min="15105" max="15105" width="6.08984375" style="155" customWidth="1"/>
    <col min="15106" max="15106" width="4.1796875" style="155" customWidth="1"/>
    <col min="15107" max="15107" width="6.08984375" style="155" customWidth="1"/>
    <col min="15108" max="15108" width="7.453125" style="155" customWidth="1"/>
    <col min="15109" max="15109" width="10.54296875" style="155" customWidth="1"/>
    <col min="15110" max="15110" width="12.1796875" style="155" customWidth="1"/>
    <col min="15111" max="15111" width="7.1796875" style="155" customWidth="1"/>
    <col min="15112" max="15112" width="6.36328125" style="155" customWidth="1"/>
    <col min="15113" max="15113" width="8.08984375" style="155" customWidth="1"/>
    <col min="15114" max="15114" width="8.1796875" style="155" customWidth="1"/>
    <col min="15115" max="15360" width="7.81640625" style="155"/>
    <col min="15361" max="15361" width="6.08984375" style="155" customWidth="1"/>
    <col min="15362" max="15362" width="4.1796875" style="155" customWidth="1"/>
    <col min="15363" max="15363" width="6.08984375" style="155" customWidth="1"/>
    <col min="15364" max="15364" width="7.453125" style="155" customWidth="1"/>
    <col min="15365" max="15365" width="10.54296875" style="155" customWidth="1"/>
    <col min="15366" max="15366" width="12.1796875" style="155" customWidth="1"/>
    <col min="15367" max="15367" width="7.1796875" style="155" customWidth="1"/>
    <col min="15368" max="15368" width="6.36328125" style="155" customWidth="1"/>
    <col min="15369" max="15369" width="8.08984375" style="155" customWidth="1"/>
    <col min="15370" max="15370" width="8.1796875" style="155" customWidth="1"/>
    <col min="15371" max="15616" width="7.81640625" style="155"/>
    <col min="15617" max="15617" width="6.08984375" style="155" customWidth="1"/>
    <col min="15618" max="15618" width="4.1796875" style="155" customWidth="1"/>
    <col min="15619" max="15619" width="6.08984375" style="155" customWidth="1"/>
    <col min="15620" max="15620" width="7.453125" style="155" customWidth="1"/>
    <col min="15621" max="15621" width="10.54296875" style="155" customWidth="1"/>
    <col min="15622" max="15622" width="12.1796875" style="155" customWidth="1"/>
    <col min="15623" max="15623" width="7.1796875" style="155" customWidth="1"/>
    <col min="15624" max="15624" width="6.36328125" style="155" customWidth="1"/>
    <col min="15625" max="15625" width="8.08984375" style="155" customWidth="1"/>
    <col min="15626" max="15626" width="8.1796875" style="155" customWidth="1"/>
    <col min="15627" max="15872" width="7.81640625" style="155"/>
    <col min="15873" max="15873" width="6.08984375" style="155" customWidth="1"/>
    <col min="15874" max="15874" width="4.1796875" style="155" customWidth="1"/>
    <col min="15875" max="15875" width="6.08984375" style="155" customWidth="1"/>
    <col min="15876" max="15876" width="7.453125" style="155" customWidth="1"/>
    <col min="15877" max="15877" width="10.54296875" style="155" customWidth="1"/>
    <col min="15878" max="15878" width="12.1796875" style="155" customWidth="1"/>
    <col min="15879" max="15879" width="7.1796875" style="155" customWidth="1"/>
    <col min="15880" max="15880" width="6.36328125" style="155" customWidth="1"/>
    <col min="15881" max="15881" width="8.08984375" style="155" customWidth="1"/>
    <col min="15882" max="15882" width="8.1796875" style="155" customWidth="1"/>
    <col min="15883" max="16128" width="7.81640625" style="155"/>
    <col min="16129" max="16129" width="6.08984375" style="155" customWidth="1"/>
    <col min="16130" max="16130" width="4.1796875" style="155" customWidth="1"/>
    <col min="16131" max="16131" width="6.08984375" style="155" customWidth="1"/>
    <col min="16132" max="16132" width="7.453125" style="155" customWidth="1"/>
    <col min="16133" max="16133" width="10.54296875" style="155" customWidth="1"/>
    <col min="16134" max="16134" width="12.1796875" style="155" customWidth="1"/>
    <col min="16135" max="16135" width="7.1796875" style="155" customWidth="1"/>
    <col min="16136" max="16136" width="6.36328125" style="155" customWidth="1"/>
    <col min="16137" max="16137" width="8.08984375" style="155" customWidth="1"/>
    <col min="16138" max="16138" width="8.1796875" style="155" customWidth="1"/>
    <col min="16139" max="16384" width="7.81640625" style="155"/>
  </cols>
  <sheetData>
    <row r="1" spans="1:10" s="125" customFormat="1" ht="24.9" customHeight="1">
      <c r="A1" s="286"/>
      <c r="B1" s="286"/>
      <c r="C1" s="286"/>
      <c r="D1" s="501" t="s">
        <v>535</v>
      </c>
      <c r="E1" s="501"/>
      <c r="F1" s="501"/>
      <c r="G1" s="501"/>
      <c r="H1" s="501"/>
      <c r="I1" s="509" t="s">
        <v>536</v>
      </c>
      <c r="J1" s="509"/>
    </row>
    <row r="2" spans="1:10" s="125" customFormat="1" ht="24.9" customHeight="1">
      <c r="A2" s="287"/>
      <c r="B2" s="287"/>
      <c r="C2" s="287"/>
      <c r="D2" s="502"/>
      <c r="E2" s="502"/>
      <c r="F2" s="502"/>
      <c r="G2" s="502"/>
      <c r="H2" s="502"/>
      <c r="I2" s="293" t="s">
        <v>81</v>
      </c>
      <c r="J2" s="293"/>
    </row>
    <row r="3" spans="1:10" s="125" customFormat="1" ht="24.9" customHeight="1" thickBot="1">
      <c r="A3" s="288"/>
      <c r="B3" s="288"/>
      <c r="C3" s="288"/>
      <c r="D3" s="503"/>
      <c r="E3" s="503"/>
      <c r="F3" s="503"/>
      <c r="G3" s="503"/>
      <c r="H3" s="503"/>
      <c r="I3" s="294" t="s">
        <v>82</v>
      </c>
      <c r="J3" s="294"/>
    </row>
    <row r="4" spans="1:10" s="145" customFormat="1" ht="9.9" customHeight="1"/>
    <row r="5" spans="1:10" s="147" customFormat="1" ht="21" customHeight="1">
      <c r="A5" s="146" t="s">
        <v>537</v>
      </c>
    </row>
    <row r="6" spans="1:10" s="149" customFormat="1" ht="40.5" customHeight="1">
      <c r="A6" s="507" t="s">
        <v>538</v>
      </c>
      <c r="B6" s="508"/>
      <c r="C6" s="507" t="s">
        <v>539</v>
      </c>
      <c r="D6" s="508"/>
      <c r="E6" s="148" t="s">
        <v>540</v>
      </c>
      <c r="F6" s="148" t="s">
        <v>541</v>
      </c>
      <c r="G6" s="507" t="s">
        <v>542</v>
      </c>
      <c r="H6" s="508"/>
      <c r="I6" s="507" t="s">
        <v>543</v>
      </c>
      <c r="J6" s="508"/>
    </row>
    <row r="7" spans="1:10" s="147" customFormat="1" ht="35.25" customHeight="1">
      <c r="A7" s="510"/>
      <c r="B7" s="510"/>
      <c r="C7" s="510"/>
      <c r="D7" s="510"/>
      <c r="E7" s="150"/>
      <c r="F7" s="150"/>
      <c r="G7" s="510"/>
      <c r="H7" s="510"/>
      <c r="I7" s="510"/>
      <c r="J7" s="510"/>
    </row>
    <row r="8" spans="1:10" s="147" customFormat="1" ht="35.25" customHeight="1">
      <c r="A8" s="510"/>
      <c r="B8" s="510"/>
      <c r="C8" s="510"/>
      <c r="D8" s="510"/>
      <c r="E8" s="150"/>
      <c r="F8" s="150"/>
      <c r="G8" s="510"/>
      <c r="H8" s="510"/>
      <c r="I8" s="510"/>
      <c r="J8" s="510"/>
    </row>
    <row r="9" spans="1:10" s="147" customFormat="1" ht="35.25" customHeight="1">
      <c r="A9" s="510"/>
      <c r="B9" s="510"/>
      <c r="C9" s="510"/>
      <c r="D9" s="510"/>
      <c r="E9" s="150"/>
      <c r="F9" s="150"/>
      <c r="G9" s="510"/>
      <c r="H9" s="510"/>
      <c r="I9" s="510"/>
      <c r="J9" s="510"/>
    </row>
    <row r="10" spans="1:10" s="147" customFormat="1" ht="35.25" customHeight="1">
      <c r="A10" s="510"/>
      <c r="B10" s="510"/>
      <c r="C10" s="510"/>
      <c r="D10" s="510"/>
      <c r="E10" s="150"/>
      <c r="F10" s="150"/>
      <c r="G10" s="510"/>
      <c r="H10" s="510"/>
      <c r="I10" s="510"/>
      <c r="J10" s="510"/>
    </row>
    <row r="11" spans="1:10" s="147" customFormat="1" ht="35.25" customHeight="1">
      <c r="A11" s="510"/>
      <c r="B11" s="510"/>
      <c r="C11" s="510"/>
      <c r="D11" s="510"/>
      <c r="E11" s="150"/>
      <c r="F11" s="150"/>
      <c r="G11" s="510"/>
      <c r="H11" s="510"/>
      <c r="I11" s="510"/>
      <c r="J11" s="510"/>
    </row>
    <row r="12" spans="1:10" s="147" customFormat="1" ht="35.25" customHeight="1">
      <c r="A12" s="510"/>
      <c r="B12" s="510"/>
      <c r="C12" s="510"/>
      <c r="D12" s="510"/>
      <c r="E12" s="150"/>
      <c r="F12" s="150"/>
      <c r="G12" s="510"/>
      <c r="H12" s="510"/>
      <c r="I12" s="510"/>
      <c r="J12" s="510"/>
    </row>
    <row r="13" spans="1:10" s="147" customFormat="1" ht="35.25" customHeight="1">
      <c r="A13" s="510"/>
      <c r="B13" s="510"/>
      <c r="C13" s="510"/>
      <c r="D13" s="510"/>
      <c r="E13" s="150"/>
      <c r="F13" s="150"/>
      <c r="G13" s="510"/>
      <c r="H13" s="510"/>
      <c r="I13" s="510"/>
      <c r="J13" s="510"/>
    </row>
    <row r="14" spans="1:10" s="147" customFormat="1" ht="35.25" customHeight="1">
      <c r="A14" s="510"/>
      <c r="B14" s="510"/>
      <c r="C14" s="510"/>
      <c r="D14" s="510"/>
      <c r="E14" s="150"/>
      <c r="F14" s="150"/>
      <c r="G14" s="510"/>
      <c r="H14" s="510"/>
      <c r="I14" s="510"/>
      <c r="J14" s="510"/>
    </row>
    <row r="15" spans="1:10" s="147" customFormat="1" ht="35.25" customHeight="1">
      <c r="A15" s="510"/>
      <c r="B15" s="510"/>
      <c r="C15" s="510"/>
      <c r="D15" s="510"/>
      <c r="E15" s="150"/>
      <c r="F15" s="150"/>
      <c r="G15" s="510"/>
      <c r="H15" s="510"/>
      <c r="I15" s="510"/>
      <c r="J15" s="510"/>
    </row>
    <row r="16" spans="1:10" s="147" customFormat="1" ht="35.25" customHeight="1">
      <c r="A16" s="510"/>
      <c r="B16" s="510"/>
      <c r="C16" s="510"/>
      <c r="D16" s="510"/>
      <c r="E16" s="150"/>
      <c r="F16" s="150"/>
      <c r="G16" s="510"/>
      <c r="H16" s="510"/>
      <c r="I16" s="510"/>
      <c r="J16" s="510"/>
    </row>
    <row r="17" spans="1:10" s="147" customFormat="1" ht="35.25" customHeight="1">
      <c r="A17" s="510"/>
      <c r="B17" s="510"/>
      <c r="C17" s="510"/>
      <c r="D17" s="510"/>
      <c r="E17" s="150"/>
      <c r="F17" s="150"/>
      <c r="G17" s="510"/>
      <c r="H17" s="510"/>
      <c r="I17" s="510"/>
      <c r="J17" s="510"/>
    </row>
    <row r="18" spans="1:10" s="147" customFormat="1" ht="35.25" customHeight="1">
      <c r="A18" s="510"/>
      <c r="B18" s="510"/>
      <c r="C18" s="510"/>
      <c r="D18" s="510"/>
      <c r="E18" s="150"/>
      <c r="F18" s="150"/>
      <c r="G18" s="510"/>
      <c r="H18" s="510"/>
      <c r="I18" s="510"/>
      <c r="J18" s="510"/>
    </row>
    <row r="19" spans="1:10" s="147" customFormat="1" ht="35.25" customHeight="1">
      <c r="A19" s="510"/>
      <c r="B19" s="510"/>
      <c r="C19" s="510"/>
      <c r="D19" s="510"/>
      <c r="E19" s="150"/>
      <c r="F19" s="150"/>
      <c r="G19" s="510"/>
      <c r="H19" s="510"/>
      <c r="I19" s="510"/>
      <c r="J19" s="510"/>
    </row>
    <row r="20" spans="1:10" s="147" customFormat="1"/>
    <row r="21" spans="1:10" s="152" customFormat="1" ht="16.8">
      <c r="A21" s="151" t="s">
        <v>544</v>
      </c>
      <c r="H21" s="151" t="s">
        <v>544</v>
      </c>
    </row>
    <row r="22" spans="1:10" ht="16.8">
      <c r="A22" s="153" t="s">
        <v>545</v>
      </c>
      <c r="B22" s="153"/>
      <c r="C22" s="153"/>
      <c r="D22" s="154"/>
      <c r="E22" s="154"/>
      <c r="F22" s="154"/>
      <c r="G22" s="154"/>
      <c r="H22" s="154" t="s">
        <v>546</v>
      </c>
      <c r="I22" s="154"/>
    </row>
  </sheetData>
  <mergeCells count="61">
    <mergeCell ref="A19:B19"/>
    <mergeCell ref="C19:D19"/>
    <mergeCell ref="G19:H19"/>
    <mergeCell ref="I19:J19"/>
    <mergeCell ref="A17:B17"/>
    <mergeCell ref="C17:D17"/>
    <mergeCell ref="G17:H17"/>
    <mergeCell ref="I17:J17"/>
    <mergeCell ref="A18:B18"/>
    <mergeCell ref="C18:D18"/>
    <mergeCell ref="G18:H18"/>
    <mergeCell ref="I18:J18"/>
    <mergeCell ref="A15:B15"/>
    <mergeCell ref="C15:D15"/>
    <mergeCell ref="G15:H15"/>
    <mergeCell ref="I15:J15"/>
    <mergeCell ref="A16:B16"/>
    <mergeCell ref="C16:D16"/>
    <mergeCell ref="G16:H16"/>
    <mergeCell ref="I16:J16"/>
    <mergeCell ref="A13:B13"/>
    <mergeCell ref="C13:D13"/>
    <mergeCell ref="G13:H13"/>
    <mergeCell ref="I13:J13"/>
    <mergeCell ref="A14:B14"/>
    <mergeCell ref="C14:D14"/>
    <mergeCell ref="G14:H14"/>
    <mergeCell ref="I14:J14"/>
    <mergeCell ref="A11:B11"/>
    <mergeCell ref="C11:D11"/>
    <mergeCell ref="G11:H11"/>
    <mergeCell ref="I11:J11"/>
    <mergeCell ref="A12:B12"/>
    <mergeCell ref="C12:D12"/>
    <mergeCell ref="G12:H12"/>
    <mergeCell ref="I12:J12"/>
    <mergeCell ref="A9:B9"/>
    <mergeCell ref="C9:D9"/>
    <mergeCell ref="G9:H9"/>
    <mergeCell ref="I9:J9"/>
    <mergeCell ref="A10:B10"/>
    <mergeCell ref="C10:D10"/>
    <mergeCell ref="G10:H10"/>
    <mergeCell ref="I10:J10"/>
    <mergeCell ref="A7:B7"/>
    <mergeCell ref="C7:D7"/>
    <mergeCell ref="G7:H7"/>
    <mergeCell ref="I7:J7"/>
    <mergeCell ref="A8:B8"/>
    <mergeCell ref="C8:D8"/>
    <mergeCell ref="G8:H8"/>
    <mergeCell ref="I8:J8"/>
    <mergeCell ref="A6:B6"/>
    <mergeCell ref="C6:D6"/>
    <mergeCell ref="G6:H6"/>
    <mergeCell ref="I6:J6"/>
    <mergeCell ref="A1:C3"/>
    <mergeCell ref="D1:H3"/>
    <mergeCell ref="I1:J1"/>
    <mergeCell ref="I2:J2"/>
    <mergeCell ref="I3:J3"/>
  </mergeCells>
  <pageMargins left="0.7" right="0.44"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Yeu cau thao tac </vt:lpstr>
      <vt:lpstr>Thong tin trang dau NK-P301-F01</vt:lpstr>
      <vt:lpstr>Trang dau NK P301-F01</vt:lpstr>
      <vt:lpstr>Thong tin NK - P301-F01</vt:lpstr>
      <vt:lpstr>Duong chuan tang truong</vt:lpstr>
      <vt:lpstr>quy tac moi truong ao nuôi</vt:lpstr>
      <vt:lpstr>Danh muc hoa chat</vt:lpstr>
      <vt:lpstr>MTP</vt:lpstr>
      <vt:lpstr>DS ghe van chuyen thuc an</vt:lpstr>
      <vt:lpstr>quy tac sd TA, HC</vt:lpstr>
      <vt:lpstr>quy tac ca chet</vt:lpstr>
      <vt:lpstr>quy tac cap thoat nuoc</vt:lpstr>
      <vt:lpstr>bac si ngu y</vt:lpstr>
      <vt:lpstr>P301-F06</vt:lpstr>
      <vt:lpstr>P301-F07</vt:lpstr>
      <vt:lpstr>P303-F03</vt:lpstr>
      <vt:lpstr>P303-F04</vt:lpstr>
      <vt:lpstr>P303-F06</vt:lpstr>
      <vt:lpstr>P303-F07</vt:lpstr>
      <vt:lpstr>P304-F04</vt:lpstr>
      <vt:lpstr>P304-F07</vt:lpstr>
      <vt:lpstr>P305-F37</vt:lpstr>
      <vt:lpstr>MTP!Print_Titles</vt:lpstr>
      <vt:lpstr>'P303-F04'!Print_Titles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 Pham Kim</dc:creator>
  <cp:lastModifiedBy>Nguyễn Minh Châu / VHC / IT</cp:lastModifiedBy>
  <cp:lastPrinted>2025-03-26T03:57:16Z</cp:lastPrinted>
  <dcterms:created xsi:type="dcterms:W3CDTF">2025-02-15T02:00:48Z</dcterms:created>
  <dcterms:modified xsi:type="dcterms:W3CDTF">2025-11-14T09:38:47Z</dcterms:modified>
</cp:coreProperties>
</file>